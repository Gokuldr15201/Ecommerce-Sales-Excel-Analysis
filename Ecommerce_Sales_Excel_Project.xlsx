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gokul\Documents\Ecommerce-Sales-Excel-Analysis\"/>
    </mc:Choice>
  </mc:AlternateContent>
  <xr:revisionPtr revIDLastSave="0" documentId="8_{8DB2C11F-0745-46FF-B308-295210683385}" xr6:coauthVersionLast="47" xr6:coauthVersionMax="47" xr10:uidLastSave="{00000000-0000-0000-0000-000000000000}"/>
  <bookViews>
    <workbookView xWindow="-120" yWindow="-120" windowWidth="20730" windowHeight="11760" firstSheet="16" activeTab="20" xr2:uid="{00000000-000D-0000-FFFF-FFFF00000000}"/>
  </bookViews>
  <sheets>
    <sheet name="Category wise Sales" sheetId="2" r:id="rId1"/>
    <sheet name="Charts" sheetId="16" r:id="rId2"/>
    <sheet name="Region wise Sales" sheetId="3" r:id="rId3"/>
    <sheet name="Category wise Profit" sheetId="4" r:id="rId4"/>
    <sheet name="Payment_Mode wise Sales" sheetId="5" r:id="rId5"/>
    <sheet name="Product wise Sales" sheetId="6" r:id="rId6"/>
    <sheet name="Sheet4" sheetId="19" r:id="rId7"/>
    <sheet name="Sheet1" sheetId="24" r:id="rId8"/>
    <sheet name="Sheet6" sheetId="23" r:id="rId9"/>
    <sheet name="State wise Sales" sheetId="7" r:id="rId10"/>
    <sheet name="Shipping wise Sales" sheetId="8" r:id="rId11"/>
    <sheet name="Customer-wise Sales" sheetId="10" r:id="rId12"/>
    <sheet name="Region-wise Profit" sheetId="11" r:id="rId13"/>
    <sheet name="Discount vs Profit" sheetId="12" r:id="rId14"/>
    <sheet name="Category + Region Sales" sheetId="13" r:id="rId15"/>
    <sheet name="Customer-wise Order Count" sheetId="14" r:id="rId16"/>
    <sheet name="Sheet3" sheetId="18" r:id="rId17"/>
    <sheet name="Raw_Data" sheetId="1" r:id="rId18"/>
    <sheet name="Formula_Analysis" sheetId="15" r:id="rId19"/>
    <sheet name="Chart" sheetId="20" r:id="rId20"/>
    <sheet name="Dashboard " sheetId="25" r:id="rId21"/>
  </sheets>
  <definedNames>
    <definedName name="_xlchart.v5.0" hidden="1">Sheet4!$E$8</definedName>
    <definedName name="_xlchart.v5.1" hidden="1">Sheet4!$E$9:$E$17</definedName>
    <definedName name="_xlchart.v5.2" hidden="1">Sheet4!$F$8</definedName>
    <definedName name="_xlchart.v5.3" hidden="1">Sheet4!$F$9:$F$17</definedName>
    <definedName name="_xlchart.v5.4" hidden="1">Sheet4!$E$8</definedName>
    <definedName name="_xlchart.v5.5" hidden="1">Sheet4!$E$9:$E$17</definedName>
    <definedName name="_xlchart.v5.6" hidden="1">Sheet4!$F$8</definedName>
    <definedName name="_xlchart.v5.7" hidden="1">Sheet4!$F$9:$F$17</definedName>
    <definedName name="Slicer_Category">#N/A</definedName>
    <definedName name="Slicer_Order_Date">#N/A</definedName>
    <definedName name="Slicer_Payment_Mode">#N/A</definedName>
    <definedName name="Slicer_Region">#N/A</definedName>
  </definedNames>
  <calcPr calcId="191029"/>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2" i="20" l="1"/>
  <c r="X20" i="20"/>
  <c r="X18" i="20"/>
  <c r="X16" i="20"/>
  <c r="J2" i="15"/>
  <c r="G3" i="15"/>
  <c r="G4" i="15"/>
  <c r="G5" i="15"/>
  <c r="G6" i="15"/>
  <c r="G2" i="15"/>
  <c r="D3" i="15"/>
  <c r="D4" i="15"/>
  <c r="D5" i="15"/>
  <c r="D6" i="15"/>
  <c r="D2" i="15"/>
  <c r="B3" i="15"/>
  <c r="B4" i="15"/>
  <c r="B5" i="15"/>
  <c r="B6" i="15"/>
  <c r="B2" i="15"/>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alcChain>
</file>

<file path=xl/sharedStrings.xml><?xml version="1.0" encoding="utf-8"?>
<sst xmlns="http://schemas.openxmlformats.org/spreadsheetml/2006/main" count="1365" uniqueCount="253">
  <si>
    <t>Order_ID</t>
  </si>
  <si>
    <t>Order_Date</t>
  </si>
  <si>
    <t>Customer_ID</t>
  </si>
  <si>
    <t>Customer_Name</t>
  </si>
  <si>
    <t>Product</t>
  </si>
  <si>
    <t>Category</t>
  </si>
  <si>
    <t>Sub_Category</t>
  </si>
  <si>
    <t>Region</t>
  </si>
  <si>
    <t>State</t>
  </si>
  <si>
    <t>City</t>
  </si>
  <si>
    <t>Sales</t>
  </si>
  <si>
    <t>Quantity</t>
  </si>
  <si>
    <t>Discount</t>
  </si>
  <si>
    <t>Profit</t>
  </si>
  <si>
    <t>Payment_Mode</t>
  </si>
  <si>
    <t>Shipping_Mode</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</si>
  <si>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</si>
  <si>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</si>
  <si>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</si>
  <si>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</si>
  <si>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</si>
  <si>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</si>
  <si>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</si>
  <si>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</si>
  <si>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</si>
  <si>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</si>
  <si>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</si>
  <si>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</si>
  <si>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</si>
  <si>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</si>
  <si>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</si>
  <si>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</si>
  <si>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</si>
  <si>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</si>
  <si>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</si>
  <si>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</si>
  <si>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</si>
  <si>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</si>
  <si>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</si>
  <si>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</si>
  <si>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</si>
  <si>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</si>
  <si>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</si>
  <si>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</si>
  <si>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</si>
  <si>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</si>
  <si>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</si>
  <si>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</si>
  <si>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</si>
  <si>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</si>
  <si>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</si>
  <si>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</si>
  <si>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</si>
  <si>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</si>
  <si>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</si>
  <si>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</si>
  <si>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</si>
  <si>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</si>
  <si>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</si>
  <si>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</si>
  <si>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</si>
  <si>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</si>
  <si>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</si>
  <si>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</si>
  <si>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</si>
  <si>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</si>
  <si>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</si>
  <si>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</si>
  <si>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</si>
  <si>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</si>
  <si>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</si>
  <si>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</si>
  <si>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</si>
  <si>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</si>
  <si>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</si>
  <si>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</si>
  <si>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</si>
  <si>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</si>
  <si>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</si>
  <si>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</si>
  <si>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</si>
  <si>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</si>
  <si>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</si>
  <si>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</si>
  <si>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</si>
  <si>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</si>
  <si>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</si>
  <si>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</si>
  <si>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</si>
  <si>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</si>
  <si>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</si>
  <si>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</si>
  <si>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</si>
  <si>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</si>
  <si>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</si>
  <si>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</si>
  <si>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</si>
  <si>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</si>
  <si>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</si>
  <si>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</si>
  <si>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</si>
  <si>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</si>
  <si>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</si>
  <si>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</si>
  <si>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</si>
  <si>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</si>
  <si>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</si>
  <si>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</si>
  <si>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</si>
  <si>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</si>
  <si>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</si>
  <si>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</si>
  <si>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</si>
  <si>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</si>
  <si>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</si>
  <si>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</si>
  <si>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C1018</t>
  </si>
  <si>
    <t>C1014</t>
  </si>
  <si>
    <t>C1038</t>
  </si>
  <si>
    <t>C1006</t>
  </si>
  <si>
    <t>C1025</t>
  </si>
  <si>
    <t>C1015</t>
  </si>
  <si>
    <t>C1023</t>
  </si>
  <si>
    <t>C1030</t>
  </si>
  <si>
    <t>C1005</t>
  </si>
  <si>
    <t>C1035</t>
  </si>
  <si>
    <t>C1007</t>
  </si>
  <si>
    <t>C1021</t>
  </si>
  <si>
    <t>C1032</t>
  </si>
  <si>
    <t>C1004</t>
  </si>
  <si>
    <t>C1028</t>
  </si>
  <si>
    <t>C1022</t>
  </si>
  <si>
    <t>C1016</t>
  </si>
  <si>
    <t>C1026</t>
  </si>
  <si>
    <t>C1009</t>
  </si>
  <si>
    <t>C1017</t>
  </si>
  <si>
    <t>C1001</t>
  </si>
  <si>
    <t>C1003</t>
  </si>
  <si>
    <t>C1036</t>
  </si>
  <si>
    <t>C1012</t>
  </si>
  <si>
    <t>C1013</t>
  </si>
  <si>
    <t>C1033</t>
  </si>
  <si>
    <t>C1027</t>
  </si>
  <si>
    <t>C1037</t>
  </si>
  <si>
    <t>C1029</t>
  </si>
  <si>
    <t>C1011</t>
  </si>
  <si>
    <t>C1010</t>
  </si>
  <si>
    <t>C1002</t>
  </si>
  <si>
    <t>C1020</t>
  </si>
  <si>
    <t>C1031</t>
  </si>
  <si>
    <t>C1039</t>
  </si>
  <si>
    <t>C1040</t>
  </si>
  <si>
    <t>C1008</t>
  </si>
  <si>
    <t>C1019</t>
  </si>
  <si>
    <t>Naveen</t>
  </si>
  <si>
    <t>Ashwin</t>
  </si>
  <si>
    <t>Rahul</t>
  </si>
  <si>
    <t>Manoj</t>
  </si>
  <si>
    <t>Divya</t>
  </si>
  <si>
    <t>Priya</t>
  </si>
  <si>
    <t>Karthik</t>
  </si>
  <si>
    <t>Vijay</t>
  </si>
  <si>
    <t>Anjali</t>
  </si>
  <si>
    <t>Sanjay</t>
  </si>
  <si>
    <t>Arun</t>
  </si>
  <si>
    <t>Pooja</t>
  </si>
  <si>
    <t>Gokul</t>
  </si>
  <si>
    <t>Harish</t>
  </si>
  <si>
    <t>Keerthi</t>
  </si>
  <si>
    <t>Water Bottle</t>
  </si>
  <si>
    <t>Desk</t>
  </si>
  <si>
    <t>Keyboard</t>
  </si>
  <si>
    <t>Yoga Mat</t>
  </si>
  <si>
    <t>Smartphone</t>
  </si>
  <si>
    <t>Bookshelf</t>
  </si>
  <si>
    <t>Jeans</t>
  </si>
  <si>
    <t>Running Shoes</t>
  </si>
  <si>
    <t>Laptop</t>
  </si>
  <si>
    <t>T-Shirt</t>
  </si>
  <si>
    <t>Jacket</t>
  </si>
  <si>
    <t>Wireless Mouse</t>
  </si>
  <si>
    <t>Office Chair</t>
  </si>
  <si>
    <t>Headphones</t>
  </si>
  <si>
    <t>Backpack</t>
  </si>
  <si>
    <t>Sports</t>
  </si>
  <si>
    <t>Furniture</t>
  </si>
  <si>
    <t>Electronics</t>
  </si>
  <si>
    <t>Fashion</t>
  </si>
  <si>
    <t>Bags</t>
  </si>
  <si>
    <t>Fitness</t>
  </si>
  <si>
    <t>Tables</t>
  </si>
  <si>
    <t>Accessories</t>
  </si>
  <si>
    <t>Mobiles</t>
  </si>
  <si>
    <t>Storage</t>
  </si>
  <si>
    <t>Clothing</t>
  </si>
  <si>
    <t>Footwear</t>
  </si>
  <si>
    <t>Computers</t>
  </si>
  <si>
    <t>Chairs</t>
  </si>
  <si>
    <t>Travel</t>
  </si>
  <si>
    <t>South</t>
  </si>
  <si>
    <t>East</t>
  </si>
  <si>
    <t>West</t>
  </si>
  <si>
    <t>North</t>
  </si>
  <si>
    <t>Tamil Nadu</t>
  </si>
  <si>
    <t>West Bengal</t>
  </si>
  <si>
    <t>Gujarat</t>
  </si>
  <si>
    <t>Delhi</t>
  </si>
  <si>
    <t>Maharashtra</t>
  </si>
  <si>
    <t>Kerala</t>
  </si>
  <si>
    <t>Odisha</t>
  </si>
  <si>
    <t>Rajasthan</t>
  </si>
  <si>
    <t>Karnataka</t>
  </si>
  <si>
    <t>Chennai</t>
  </si>
  <si>
    <t>Kolkata</t>
  </si>
  <si>
    <t>Ahmedabad</t>
  </si>
  <si>
    <t>New Delhi</t>
  </si>
  <si>
    <t>Mumbai</t>
  </si>
  <si>
    <t>Kochi</t>
  </si>
  <si>
    <t>Bhubaneswar</t>
  </si>
  <si>
    <t>Jaipur</t>
  </si>
  <si>
    <t>Bengaluru</t>
  </si>
  <si>
    <t>Coimbatore</t>
  </si>
  <si>
    <t>UPI</t>
  </si>
  <si>
    <t>Credit Card</t>
  </si>
  <si>
    <t>Debit Card</t>
  </si>
  <si>
    <t>Cash</t>
  </si>
  <si>
    <t>Same Day</t>
  </si>
  <si>
    <t>Express</t>
  </si>
  <si>
    <t>Standard</t>
  </si>
  <si>
    <t>Profit_Margin</t>
  </si>
  <si>
    <t>Grand Total</t>
  </si>
  <si>
    <t>Sum of Sales</t>
  </si>
  <si>
    <t>Sum of Profit</t>
  </si>
  <si>
    <t>Customer</t>
  </si>
  <si>
    <t>Column Labels</t>
  </si>
  <si>
    <t>Count of Order_ID</t>
  </si>
  <si>
    <t>Total Sales</t>
  </si>
  <si>
    <t>Order Count</t>
  </si>
  <si>
    <t>Average Sales</t>
  </si>
  <si>
    <t>Jan</t>
  </si>
  <si>
    <t>Feb</t>
  </si>
  <si>
    <t>Mar</t>
  </si>
  <si>
    <t>Apr</t>
  </si>
  <si>
    <t>May</t>
  </si>
  <si>
    <t>Jun</t>
  </si>
  <si>
    <t>Jul</t>
  </si>
  <si>
    <t>Aug</t>
  </si>
  <si>
    <t>Sep</t>
  </si>
  <si>
    <t>Oct</t>
  </si>
  <si>
    <t>Nov</t>
  </si>
  <si>
    <t>Dec</t>
  </si>
  <si>
    <t>Month</t>
  </si>
  <si>
    <t>shccv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</si>
</sst>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right/>
      <top/>
      <bottom style="thin">
        <color auto="1"/>
      </bottom>
      <diagonal/>
    </border>
    <border>
      <left/>
      <right/>
      <top/>
      <bottom style="thin">
        <color theme="4" tint="0.39997558519241921"/>
      </bottom>
      <diagonal/>
    </border>
  </borders>
  <cellStyleXfs count="1">
    <xf numFmtId="0" fontId="0" fillId="0" borderId="0"/>
  </cellStyleXfs>
  <cellXfs count="16">
    <xf numFmtId="0" fontId="0" fillId="0" borderId="0" xfId="0"/>
    <xf numFmtId="164" fontId="0" fillId="0" borderId="0" xfId="0" applyNumberFormat="1"/>
    <xf numFmtId="165" fontId="0" fillId="0" borderId="0" xfId="0" applyNumberFormat="1"/>
    <xf numFmtId="2" fontId="0" fillId="0" borderId="0" xfId="0" applyNumberFormat="1"/>
    <xf numFmtId="10" fontId="0" fillId="0" borderId="0" xfId="0" applyNumberFormat="1"/>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0" fontId="1" fillId="0" borderId="1" xfId="0" applyNumberFormat="1" applyFont="1" applyBorder="1" applyAlignment="1">
      <alignment horizontal="center" vertical="top"/>
    </xf>
    <xf numFmtId="10" fontId="1" fillId="0" borderId="2" xfId="0" applyNumberFormat="1"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applyAlignment="1">
      <alignment horizontal="left"/>
    </xf>
    <xf numFmtId="0" fontId="1" fillId="2" borderId="3" xfId="0" applyFont="1" applyFill="1" applyBorder="1"/>
    <xf numFmtId="0" fontId="0" fillId="0" borderId="0" xfId="0" applyNumberFormat="1"/>
  </cellXfs>
  <cellStyles count="1">
    <cellStyle name="Normal" xfId="0" builtinId="0"/>
  </cellStyles>
  <dxfs count="8">
    <dxf>
      <numFmt numFmtId="14" formatCode="0.00%"/>
    </dxf>
    <dxf>
      <numFmt numFmtId="165" formatCode="&quot;₹&quot;\ #,##0.00"/>
    </dxf>
    <dxf>
      <numFmt numFmtId="14" formatCode="0.00%"/>
    </dxf>
    <dxf>
      <numFmt numFmtId="2" formatCode="0.00"/>
    </dxf>
    <dxf>
      <numFmt numFmtId="165" formatCode="&quot;₹&quot;\ #,##0.00"/>
    </dxf>
    <dxf>
      <numFmt numFmtId="164" formatCode="[$-F800]dddd\,\ mmmm\ dd\,\ yyyy"/>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[Ecommerce_Sales_Excel_Project.xlsx]Category wise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cat>
            <c:strRef>
              <c:f>'Category wise Sales'!$A$4:$A$9</c:f>
              <c:strCache>
                <c:ptCount val="5"/>
                <c:pt idx="0">
                  <c:v>Electronics</c:v>
                </c:pt>
                <c:pt idx="1">
                  <c:v>Furniture</c:v>
                </c:pt>
                <c:pt idx="2">
                  <c:v>Fashion</c:v>
                </c:pt>
                <c:pt idx="3">
                  <c:v>Sports</c:v>
                </c:pt>
                <c:pt idx="4">
                  <c:v>Bags</c:v>
                </c:pt>
              </c:strCache>
            </c:strRef>
          </c:cat>
          <c:val>
            <c:numRef>
              <c:f>'Category wise Sales'!$B$4:$B$9</c:f>
              <c:numCache>
                <c:formatCode>"₹"\ #,##0.00</c:formatCode>
                <c:ptCount val="5"/>
                <c:pt idx="0">
                  <c:v>2664680.5499999998</c:v>
                </c:pt>
                <c:pt idx="1">
                  <c:v>257284.8</c:v>
                </c:pt>
                <c:pt idx="2">
                  <c:v>108251.9</c:v>
                </c:pt>
                <c:pt idx="3">
                  <c:v>82085.45</c:v>
                </c:pt>
                <c:pt idx="4">
                  <c:v>38948.35</c:v>
                </c:pt>
              </c:numCache>
            </c:numRef>
          </c:val>
          <c:extLst>
            <c:ext xmlns:c16="http://schemas.microsoft.com/office/drawing/2014/chart" uri="{C3380CC4-5D6E-409C-BE32-E72D297353CC}">
              <c16:uniqueId val="{00000000-2072-4F76-B4D8-90905D4B3959}"/>
            </c:ext>
          </c:extLst>
        </c:ser>
        <c:dLbls>
          <c:showLegendKey val="0"/>
          <c:showVal val="0"/>
          <c:showCatName val="0"/>
          <c:showSerName val="0"/>
          <c:showPercent val="0"/>
          <c:showBubbleSize val="0"/>
        </c:dLbls>
        <c:gapWidth val="219"/>
        <c:overlap val="-27"/>
        <c:axId val="1624241679"/>
        <c:axId val="1589004367"/>
      </c:barChart>
      <c:catAx>
        <c:axId val="16242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04367"/>
        <c:crosses val="autoZero"/>
        <c:auto val="1"/>
        <c:lblAlgn val="ctr"/>
        <c:lblOffset val="100"/>
        <c:noMultiLvlLbl val="0"/>
      </c:catAx>
      <c:valAx>
        <c:axId val="1589004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4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[Ecommerce_Sales_Excel_Project.xlsx]Region wise Sales!PivotTable2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cat>
            <c:strRef>
              <c:f>'Region wise Sales'!$A$4:$A$8</c:f>
              <c:strCache>
                <c:ptCount val="4"/>
                <c:pt idx="0">
                  <c:v>West</c:v>
                </c:pt>
                <c:pt idx="1">
                  <c:v>North</c:v>
                </c:pt>
                <c:pt idx="2">
                  <c:v>South</c:v>
                </c:pt>
                <c:pt idx="3">
                  <c:v>East</c:v>
                </c:pt>
              </c:strCache>
            </c:strRef>
          </c:cat>
          <c:val>
            <c:numRef>
              <c:f>'Region wise Sales'!$B$4:$B$8</c:f>
              <c:numCache>
                <c:formatCode>"₹"\ #,##0.00</c:formatCode>
                <c:ptCount val="4"/>
                <c:pt idx="0">
                  <c:v>1147560.7999999998</c:v>
                </c:pt>
                <c:pt idx="1">
                  <c:v>891357.19999999984</c:v>
                </c:pt>
                <c:pt idx="2">
                  <c:v>591615.35000000009</c:v>
                </c:pt>
                <c:pt idx="3">
                  <c:v>520717.7</c:v>
                </c:pt>
              </c:numCache>
            </c:numRef>
          </c:val>
          <c:extLst>
            <c:ext xmlns:c16="http://schemas.microsoft.com/office/drawing/2014/chart" uri="{C3380CC4-5D6E-409C-BE32-E72D297353CC}">
              <c16:uniqueId val="{00000000-222C-406E-8F86-0D575DAF2A7D}"/>
            </c:ext>
          </c:extLst>
        </c:ser>
        <c:dLbls>
          <c:showLegendKey val="0"/>
          <c:showVal val="0"/>
          <c:showCatName val="0"/>
          <c:showSerName val="0"/>
          <c:showPercent val="0"/>
          <c:showBubbleSize val="0"/>
        </c:dLbls>
        <c:gapWidth val="182"/>
        <c:axId val="1660876015"/>
        <c:axId val="1589123407"/>
      </c:barChart>
      <c:catAx>
        <c:axId val="166087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123407"/>
        <c:crosses val="autoZero"/>
        <c:auto val="1"/>
        <c:lblAlgn val="ctr"/>
        <c:lblOffset val="100"/>
        <c:noMultiLvlLbl val="0"/>
      </c:catAx>
      <c:valAx>
        <c:axId val="15891234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76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[Ecommerce_Sales_Excel_Project.xlsx]Sheet3!PivotTable1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 #,##0.00</c:formatCode>
                <c:ptCount val="12"/>
                <c:pt idx="0">
                  <c:v>89539.75</c:v>
                </c:pt>
                <c:pt idx="1">
                  <c:v>575195.35</c:v>
                </c:pt>
                <c:pt idx="2">
                  <c:v>291293.15000000002</c:v>
                </c:pt>
                <c:pt idx="3">
                  <c:v>148988.9</c:v>
                </c:pt>
                <c:pt idx="4">
                  <c:v>273715.55000000005</c:v>
                </c:pt>
                <c:pt idx="5">
                  <c:v>32207.85</c:v>
                </c:pt>
                <c:pt idx="6">
                  <c:v>396160.50000000006</c:v>
                </c:pt>
                <c:pt idx="7">
                  <c:v>563676.64999999991</c:v>
                </c:pt>
                <c:pt idx="8">
                  <c:v>420485.35</c:v>
                </c:pt>
                <c:pt idx="9">
                  <c:v>78868.399999999994</c:v>
                </c:pt>
                <c:pt idx="10">
                  <c:v>212092.4</c:v>
                </c:pt>
                <c:pt idx="11">
                  <c:v>69027.200000000012</c:v>
                </c:pt>
              </c:numCache>
            </c:numRef>
          </c:val>
          <c:smooth val="0"/>
          <c:extLst>
            <c:ext xmlns:c16="http://schemas.microsoft.com/office/drawing/2014/chart" uri="{C3380CC4-5D6E-409C-BE32-E72D297353CC}">
              <c16:uniqueId val="{00000000-CC30-44FB-BA4C-46F1E8034E92}"/>
            </c:ext>
          </c:extLst>
        </c:ser>
        <c:dLbls>
          <c:showLegendKey val="0"/>
          <c:showVal val="0"/>
          <c:showCatName val="0"/>
          <c:showSerName val="0"/>
          <c:showPercent val="0"/>
          <c:showBubbleSize val="0"/>
        </c:dLbls>
        <c:marker val="1"/>
        <c:smooth val="0"/>
        <c:axId val="1682888319"/>
        <c:axId val="1589058607"/>
      </c:lineChart>
      <c:catAx>
        <c:axId val="168288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58607"/>
        <c:crosses val="autoZero"/>
        <c:auto val="1"/>
        <c:lblAlgn val="ctr"/>
        <c:lblOffset val="100"/>
        <c:noMultiLvlLbl val="0"/>
      </c:catAx>
      <c:valAx>
        <c:axId val="1589058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[Ecommerce_Sales_Excel_Project.xlsx]Payment_Mode wise 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'Payment_Mode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C5-42FC-BC43-A61CF1376A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C5-42FC-BC43-A61CF1376A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C5-42FC-BC43-A61CF1376A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C5-42FC-BC43-A61CF1376A83}"/>
              </c:ext>
            </c:extLst>
          </c:dPt>
          <c:cat>
            <c:strRef>
              <c:f>'Payment_Mode wise Sales'!$A$4:$A$8</c:f>
              <c:strCache>
                <c:ptCount val="4"/>
                <c:pt idx="0">
                  <c:v>Cash</c:v>
                </c:pt>
                <c:pt idx="1">
                  <c:v>Credit Card</c:v>
                </c:pt>
                <c:pt idx="2">
                  <c:v>UPI</c:v>
                </c:pt>
                <c:pt idx="3">
                  <c:v>Debit Card</c:v>
                </c:pt>
              </c:strCache>
            </c:strRef>
          </c:cat>
          <c:val>
            <c:numRef>
              <c:f>'Payment_Mode wise Sales'!$B$4:$B$8</c:f>
              <c:numCache>
                <c:formatCode>"₹"\ #,##0.00</c:formatCode>
                <c:ptCount val="4"/>
                <c:pt idx="0">
                  <c:v>1938489.4499999995</c:v>
                </c:pt>
                <c:pt idx="1">
                  <c:v>788757.15</c:v>
                </c:pt>
                <c:pt idx="2">
                  <c:v>345622.85000000009</c:v>
                </c:pt>
                <c:pt idx="3">
                  <c:v>78381.600000000006</c:v>
                </c:pt>
              </c:numCache>
            </c:numRef>
          </c:val>
          <c:extLst>
            <c:ext xmlns:c16="http://schemas.microsoft.com/office/drawing/2014/chart" uri="{C3380CC4-5D6E-409C-BE32-E72D297353CC}">
              <c16:uniqueId val="{00000008-49C5-42FC-BC43-A61CF1376A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[Ecommerce_Sales_Excel_Project.xlsx]Product wise Sales!PivotTable5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wise Sales'!$B$3</c:f>
              <c:strCache>
                <c:ptCount val="1"/>
                <c:pt idx="0">
                  <c:v>Total</c:v>
                </c:pt>
              </c:strCache>
            </c:strRef>
          </c:tx>
          <c:spPr>
            <a:solidFill>
              <a:schemeClr val="accent1"/>
            </a:solidFill>
            <a:ln>
              <a:noFill/>
            </a:ln>
            <a:effectLst/>
          </c:spPr>
          <c:invertIfNegative val="0"/>
          <c:cat>
            <c:strRef>
              <c:f>'Product wise Sales'!$A$4:$A$19</c:f>
              <c:strCache>
                <c:ptCount val="15"/>
                <c:pt idx="0">
                  <c:v>Laptop</c:v>
                </c:pt>
                <c:pt idx="1">
                  <c:v>Smartphone</c:v>
                </c:pt>
                <c:pt idx="2">
                  <c:v>Desk</c:v>
                </c:pt>
                <c:pt idx="3">
                  <c:v>Bookshelf</c:v>
                </c:pt>
                <c:pt idx="4">
                  <c:v>Jeans</c:v>
                </c:pt>
                <c:pt idx="5">
                  <c:v>Running Shoes</c:v>
                </c:pt>
                <c:pt idx="6">
                  <c:v>Jacket</c:v>
                </c:pt>
                <c:pt idx="7">
                  <c:v>Backpack</c:v>
                </c:pt>
                <c:pt idx="8">
                  <c:v>Keyboard</c:v>
                </c:pt>
                <c:pt idx="9">
                  <c:v>Office Chair</c:v>
                </c:pt>
                <c:pt idx="10">
                  <c:v>Headphones</c:v>
                </c:pt>
                <c:pt idx="11">
                  <c:v>Yoga Mat</c:v>
                </c:pt>
                <c:pt idx="12">
                  <c:v>Wireless Mouse</c:v>
                </c:pt>
                <c:pt idx="13">
                  <c:v>Water Bottle</c:v>
                </c:pt>
                <c:pt idx="14">
                  <c:v>T-Shirt</c:v>
                </c:pt>
              </c:strCache>
            </c:strRef>
          </c:cat>
          <c:val>
            <c:numRef>
              <c:f>'Product wise Sales'!$B$4:$B$19</c:f>
              <c:numCache>
                <c:formatCode>"₹"\ #,##0.00</c:formatCode>
                <c:ptCount val="15"/>
                <c:pt idx="0">
                  <c:v>1680250</c:v>
                </c:pt>
                <c:pt idx="1">
                  <c:v>920969.29999999993</c:v>
                </c:pt>
                <c:pt idx="2">
                  <c:v>129831.44999999998</c:v>
                </c:pt>
                <c:pt idx="3">
                  <c:v>105855.75</c:v>
                </c:pt>
                <c:pt idx="4">
                  <c:v>51271.5</c:v>
                </c:pt>
                <c:pt idx="5">
                  <c:v>50735.5</c:v>
                </c:pt>
                <c:pt idx="6">
                  <c:v>45434.85</c:v>
                </c:pt>
                <c:pt idx="7">
                  <c:v>38948.35</c:v>
                </c:pt>
                <c:pt idx="8">
                  <c:v>28705.85</c:v>
                </c:pt>
                <c:pt idx="9">
                  <c:v>21597.599999999999</c:v>
                </c:pt>
                <c:pt idx="10">
                  <c:v>19742.099999999999</c:v>
                </c:pt>
                <c:pt idx="11">
                  <c:v>18381.600000000002</c:v>
                </c:pt>
                <c:pt idx="12">
                  <c:v>15013.3</c:v>
                </c:pt>
                <c:pt idx="13">
                  <c:v>12968.349999999999</c:v>
                </c:pt>
                <c:pt idx="14">
                  <c:v>11545.55</c:v>
                </c:pt>
              </c:numCache>
            </c:numRef>
          </c:val>
          <c:extLst>
            <c:ext xmlns:c16="http://schemas.microsoft.com/office/drawing/2014/chart" uri="{C3380CC4-5D6E-409C-BE32-E72D297353CC}">
              <c16:uniqueId val="{00000000-D41A-44F4-A617-BEC32EF4C430}"/>
            </c:ext>
          </c:extLst>
        </c:ser>
        <c:dLbls>
          <c:showLegendKey val="0"/>
          <c:showVal val="0"/>
          <c:showCatName val="0"/>
          <c:showSerName val="0"/>
          <c:showPercent val="0"/>
          <c:showBubbleSize val="0"/>
        </c:dLbls>
        <c:gapWidth val="219"/>
        <c:overlap val="-27"/>
        <c:axId val="1682908271"/>
        <c:axId val="1589047567"/>
      </c:barChart>
      <c:catAx>
        <c:axId val="168290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47567"/>
        <c:crosses val="autoZero"/>
        <c:auto val="1"/>
        <c:lblAlgn val="ctr"/>
        <c:lblOffset val="100"/>
        <c:noMultiLvlLbl val="0"/>
      </c:catAx>
      <c:valAx>
        <c:axId val="15890475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90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[Ecommerce_Sales_Excel_Project.xlsx]Discount vs Profit!PivotTable10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vs Profit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Profit'!$B$3</c:f>
              <c:strCache>
                <c:ptCount val="1"/>
                <c:pt idx="0">
                  <c:v>Total</c:v>
                </c:pt>
              </c:strCache>
            </c:strRef>
          </c:tx>
          <c:spPr>
            <a:solidFill>
              <a:schemeClr val="accent1"/>
            </a:solidFill>
            <a:ln>
              <a:noFill/>
            </a:ln>
            <a:effectLst/>
          </c:spPr>
          <c:invertIfNegative val="0"/>
          <c:cat>
            <c:strRef>
              <c:f>'Discount vs Profit'!$A$4:$A$9</c:f>
              <c:strCache>
                <c:ptCount val="5"/>
                <c:pt idx="0">
                  <c:v>0.00%</c:v>
                </c:pt>
                <c:pt idx="1">
                  <c:v>5.00%</c:v>
                </c:pt>
                <c:pt idx="2">
                  <c:v>10.00%</c:v>
                </c:pt>
                <c:pt idx="3">
                  <c:v>15.00%</c:v>
                </c:pt>
                <c:pt idx="4">
                  <c:v>20.00%</c:v>
                </c:pt>
              </c:strCache>
            </c:strRef>
          </c:cat>
          <c:val>
            <c:numRef>
              <c:f>'Discount vs Profit'!$B$4:$B$9</c:f>
              <c:numCache>
                <c:formatCode>"₹"\ #,##0.00</c:formatCode>
                <c:ptCount val="5"/>
                <c:pt idx="0">
                  <c:v>49780.71</c:v>
                </c:pt>
                <c:pt idx="1">
                  <c:v>158338.01000000004</c:v>
                </c:pt>
                <c:pt idx="2">
                  <c:v>58824.759999999995</c:v>
                </c:pt>
                <c:pt idx="3">
                  <c:v>89235.73</c:v>
                </c:pt>
                <c:pt idx="4">
                  <c:v>241371.69999999998</c:v>
                </c:pt>
              </c:numCache>
            </c:numRef>
          </c:val>
          <c:extLst>
            <c:ext xmlns:c16="http://schemas.microsoft.com/office/drawing/2014/chart" uri="{C3380CC4-5D6E-409C-BE32-E72D297353CC}">
              <c16:uniqueId val="{00000000-3F6C-4AF7-933F-21773D584D96}"/>
            </c:ext>
          </c:extLst>
        </c:ser>
        <c:dLbls>
          <c:showLegendKey val="0"/>
          <c:showVal val="0"/>
          <c:showCatName val="0"/>
          <c:showSerName val="0"/>
          <c:showPercent val="0"/>
          <c:showBubbleSize val="0"/>
        </c:dLbls>
        <c:gapWidth val="219"/>
        <c:overlap val="-27"/>
        <c:axId val="1684191247"/>
        <c:axId val="1589085967"/>
      </c:barChart>
      <c:catAx>
        <c:axId val="168419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85967"/>
        <c:crosses val="autoZero"/>
        <c:auto val="1"/>
        <c:lblAlgn val="ctr"/>
        <c:lblOffset val="100"/>
        <c:noMultiLvlLbl val="0"/>
      </c:catAx>
      <c:valAx>
        <c:axId val="1589085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19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[Ecommerce_Sales_Excel_Project.xlsx]Region wise Sales!PivotTable2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wise Sales'!$B$3</c:f>
              <c:strCache>
                <c:ptCount val="1"/>
                <c:pt idx="0">
                  <c:v>Total</c:v>
                </c:pt>
              </c:strCache>
            </c:strRef>
          </c:tx>
          <c:spPr>
            <a:solidFill>
              <a:schemeClr val="accent1"/>
            </a:solidFill>
            <a:ln>
              <a:noFill/>
            </a:ln>
            <a:effectLst/>
          </c:spPr>
          <c:invertIfNegative val="0"/>
          <c:cat>
            <c:strRef>
              <c:f>'Region wise Sales'!$A$4:$A$8</c:f>
              <c:strCache>
                <c:ptCount val="4"/>
                <c:pt idx="0">
                  <c:v>West</c:v>
                </c:pt>
                <c:pt idx="1">
                  <c:v>North</c:v>
                </c:pt>
                <c:pt idx="2">
                  <c:v>South</c:v>
                </c:pt>
                <c:pt idx="3">
                  <c:v>East</c:v>
                </c:pt>
              </c:strCache>
            </c:strRef>
          </c:cat>
          <c:val>
            <c:numRef>
              <c:f>'Region wise Sales'!$B$4:$B$8</c:f>
              <c:numCache>
                <c:formatCode>"₹"\ #,##0.00</c:formatCode>
                <c:ptCount val="4"/>
                <c:pt idx="0">
                  <c:v>1147560.7999999998</c:v>
                </c:pt>
                <c:pt idx="1">
                  <c:v>891357.19999999984</c:v>
                </c:pt>
                <c:pt idx="2">
                  <c:v>591615.35000000009</c:v>
                </c:pt>
                <c:pt idx="3">
                  <c:v>520717.7</c:v>
                </c:pt>
              </c:numCache>
            </c:numRef>
          </c:val>
          <c:extLst>
            <c:ext xmlns:c16="http://schemas.microsoft.com/office/drawing/2014/chart" uri="{C3380CC4-5D6E-409C-BE32-E72D297353CC}">
              <c16:uniqueId val="{00000000-AFC1-47B6-8C41-90741A9744D4}"/>
            </c:ext>
          </c:extLst>
        </c:ser>
        <c:dLbls>
          <c:showLegendKey val="0"/>
          <c:showVal val="0"/>
          <c:showCatName val="0"/>
          <c:showSerName val="0"/>
          <c:showPercent val="0"/>
          <c:showBubbleSize val="0"/>
        </c:dLbls>
        <c:gapWidth val="182"/>
        <c:axId val="1686083663"/>
        <c:axId val="1589044207"/>
      </c:barChart>
      <c:catAx>
        <c:axId val="168608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44207"/>
        <c:crosses val="autoZero"/>
        <c:auto val="1"/>
        <c:lblAlgn val="ctr"/>
        <c:lblOffset val="100"/>
        <c:noMultiLvlLbl val="0"/>
      </c:catAx>
      <c:valAx>
        <c:axId val="158904420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08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[Ecommerce_Sales_Excel_Project.xlsx]Category wise Sales!PivotTable1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cat>
            <c:strRef>
              <c:f>'Category wise Sales'!$A$4:$A$9</c:f>
              <c:strCache>
                <c:ptCount val="5"/>
                <c:pt idx="0">
                  <c:v>Electronics</c:v>
                </c:pt>
                <c:pt idx="1">
                  <c:v>Furniture</c:v>
                </c:pt>
                <c:pt idx="2">
                  <c:v>Fashion</c:v>
                </c:pt>
                <c:pt idx="3">
                  <c:v>Sports</c:v>
                </c:pt>
                <c:pt idx="4">
                  <c:v>Bags</c:v>
                </c:pt>
              </c:strCache>
            </c:strRef>
          </c:cat>
          <c:val>
            <c:numRef>
              <c:f>'Category wise Sales'!$B$4:$B$9</c:f>
              <c:numCache>
                <c:formatCode>"₹"\ #,##0.00</c:formatCode>
                <c:ptCount val="5"/>
                <c:pt idx="0">
                  <c:v>2664680.5499999998</c:v>
                </c:pt>
                <c:pt idx="1">
                  <c:v>257284.8</c:v>
                </c:pt>
                <c:pt idx="2">
                  <c:v>108251.9</c:v>
                </c:pt>
                <c:pt idx="3">
                  <c:v>82085.45</c:v>
                </c:pt>
                <c:pt idx="4">
                  <c:v>38948.35</c:v>
                </c:pt>
              </c:numCache>
            </c:numRef>
          </c:val>
          <c:extLst>
            <c:ext xmlns:c16="http://schemas.microsoft.com/office/drawing/2014/chart" uri="{C3380CC4-5D6E-409C-BE32-E72D297353CC}">
              <c16:uniqueId val="{00000000-F80E-49CC-B258-CE0220E72BE2}"/>
            </c:ext>
          </c:extLst>
        </c:ser>
        <c:dLbls>
          <c:showLegendKey val="0"/>
          <c:showVal val="0"/>
          <c:showCatName val="0"/>
          <c:showSerName val="0"/>
          <c:showPercent val="0"/>
          <c:showBubbleSize val="0"/>
        </c:dLbls>
        <c:gapWidth val="219"/>
        <c:overlap val="-27"/>
        <c:axId val="1682909199"/>
        <c:axId val="1589065327"/>
      </c:barChart>
      <c:catAx>
        <c:axId val="168290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65327"/>
        <c:crosses val="autoZero"/>
        <c:auto val="1"/>
        <c:lblAlgn val="ctr"/>
        <c:lblOffset val="100"/>
        <c:noMultiLvlLbl val="0"/>
      </c:catAx>
      <c:valAx>
        <c:axId val="158906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90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[Ecommerce_Sales_Excel_Project.xlsx]Sheet3!PivotTable1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 #,##0.00</c:formatCode>
                <c:ptCount val="12"/>
                <c:pt idx="0">
                  <c:v>89539.75</c:v>
                </c:pt>
                <c:pt idx="1">
                  <c:v>575195.35</c:v>
                </c:pt>
                <c:pt idx="2">
                  <c:v>291293.15000000002</c:v>
                </c:pt>
                <c:pt idx="3">
                  <c:v>148988.9</c:v>
                </c:pt>
                <c:pt idx="4">
                  <c:v>273715.55000000005</c:v>
                </c:pt>
                <c:pt idx="5">
                  <c:v>32207.85</c:v>
                </c:pt>
                <c:pt idx="6">
                  <c:v>396160.50000000006</c:v>
                </c:pt>
                <c:pt idx="7">
                  <c:v>563676.64999999991</c:v>
                </c:pt>
                <c:pt idx="8">
                  <c:v>420485.35</c:v>
                </c:pt>
                <c:pt idx="9">
                  <c:v>78868.399999999994</c:v>
                </c:pt>
                <c:pt idx="10">
                  <c:v>212092.4</c:v>
                </c:pt>
                <c:pt idx="11">
                  <c:v>69027.200000000012</c:v>
                </c:pt>
              </c:numCache>
            </c:numRef>
          </c:val>
          <c:smooth val="0"/>
          <c:extLst>
            <c:ext xmlns:c16="http://schemas.microsoft.com/office/drawing/2014/chart" uri="{C3380CC4-5D6E-409C-BE32-E72D297353CC}">
              <c16:uniqueId val="{00000000-DAA7-4FFE-A6E2-132E063B86A2}"/>
            </c:ext>
          </c:extLst>
        </c:ser>
        <c:dLbls>
          <c:showLegendKey val="0"/>
          <c:showVal val="0"/>
          <c:showCatName val="0"/>
          <c:showSerName val="0"/>
          <c:showPercent val="0"/>
          <c:showBubbleSize val="0"/>
        </c:dLbls>
        <c:marker val="1"/>
        <c:smooth val="0"/>
        <c:axId val="1684077327"/>
        <c:axId val="1589073967"/>
      </c:lineChart>
      <c:catAx>
        <c:axId val="168407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73967"/>
        <c:crosses val="autoZero"/>
        <c:auto val="1"/>
        <c:lblAlgn val="ctr"/>
        <c:lblOffset val="100"/>
        <c:noMultiLvlLbl val="0"/>
      </c:catAx>
      <c:valAx>
        <c:axId val="158907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7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[Ecommerce_Sales_Excel_Project.xlsx]Payment_Mode wise Sales!PivotTable4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'Payment_Mode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07-4CA6-B3CA-CB5F696552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07-4CA6-B3CA-CB5F696552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07-4CA6-B3CA-CB5F696552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F07-4CA6-B3CA-CB5F696552EA}"/>
              </c:ext>
            </c:extLst>
          </c:dPt>
          <c:cat>
            <c:strRef>
              <c:f>'Payment_Mode wise Sales'!$A$4:$A$8</c:f>
              <c:strCache>
                <c:ptCount val="4"/>
                <c:pt idx="0">
                  <c:v>Cash</c:v>
                </c:pt>
                <c:pt idx="1">
                  <c:v>Credit Card</c:v>
                </c:pt>
                <c:pt idx="2">
                  <c:v>UPI</c:v>
                </c:pt>
                <c:pt idx="3">
                  <c:v>Debit Card</c:v>
                </c:pt>
              </c:strCache>
            </c:strRef>
          </c:cat>
          <c:val>
            <c:numRef>
              <c:f>'Payment_Mode wise Sales'!$B$4:$B$8</c:f>
              <c:numCache>
                <c:formatCode>"₹"\ #,##0.00</c:formatCode>
                <c:ptCount val="4"/>
                <c:pt idx="0">
                  <c:v>1938489.4499999995</c:v>
                </c:pt>
                <c:pt idx="1">
                  <c:v>788757.15</c:v>
                </c:pt>
                <c:pt idx="2">
                  <c:v>345622.85000000009</c:v>
                </c:pt>
                <c:pt idx="3">
                  <c:v>78381.600000000006</c:v>
                </c:pt>
              </c:numCache>
            </c:numRef>
          </c:val>
          <c:extLst>
            <c:ext xmlns:c16="http://schemas.microsoft.com/office/drawing/2014/chart" uri="{C3380CC4-5D6E-409C-BE32-E72D297353CC}">
              <c16:uniqueId val="{00000008-EF07-4CA6-B3CA-CB5F696552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[Ecommerce_Sales_Excel_Project.xlsx]Product wise Sales!PivotTable5</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wise Sales'!$B$3</c:f>
              <c:strCache>
                <c:ptCount val="1"/>
                <c:pt idx="0">
                  <c:v>Total</c:v>
                </c:pt>
              </c:strCache>
            </c:strRef>
          </c:tx>
          <c:spPr>
            <a:solidFill>
              <a:schemeClr val="accent1"/>
            </a:solidFill>
            <a:ln>
              <a:noFill/>
            </a:ln>
            <a:effectLst/>
          </c:spPr>
          <c:invertIfNegative val="0"/>
          <c:cat>
            <c:strRef>
              <c:f>'Product wise Sales'!$A$4:$A$19</c:f>
              <c:strCache>
                <c:ptCount val="15"/>
                <c:pt idx="0">
                  <c:v>Laptop</c:v>
                </c:pt>
                <c:pt idx="1">
                  <c:v>Smartphone</c:v>
                </c:pt>
                <c:pt idx="2">
                  <c:v>Desk</c:v>
                </c:pt>
                <c:pt idx="3">
                  <c:v>Bookshelf</c:v>
                </c:pt>
                <c:pt idx="4">
                  <c:v>Jeans</c:v>
                </c:pt>
                <c:pt idx="5">
                  <c:v>Running Shoes</c:v>
                </c:pt>
                <c:pt idx="6">
                  <c:v>Jacket</c:v>
                </c:pt>
                <c:pt idx="7">
                  <c:v>Backpack</c:v>
                </c:pt>
                <c:pt idx="8">
                  <c:v>Keyboard</c:v>
                </c:pt>
                <c:pt idx="9">
                  <c:v>Office Chair</c:v>
                </c:pt>
                <c:pt idx="10">
                  <c:v>Headphones</c:v>
                </c:pt>
                <c:pt idx="11">
                  <c:v>Yoga Mat</c:v>
                </c:pt>
                <c:pt idx="12">
                  <c:v>Wireless Mouse</c:v>
                </c:pt>
                <c:pt idx="13">
                  <c:v>Water Bottle</c:v>
                </c:pt>
                <c:pt idx="14">
                  <c:v>T-Shirt</c:v>
                </c:pt>
              </c:strCache>
            </c:strRef>
          </c:cat>
          <c:val>
            <c:numRef>
              <c:f>'Product wise Sales'!$B$4:$B$19</c:f>
              <c:numCache>
                <c:formatCode>"₹"\ #,##0.00</c:formatCode>
                <c:ptCount val="15"/>
                <c:pt idx="0">
                  <c:v>1680250</c:v>
                </c:pt>
                <c:pt idx="1">
                  <c:v>920969.29999999993</c:v>
                </c:pt>
                <c:pt idx="2">
                  <c:v>129831.44999999998</c:v>
                </c:pt>
                <c:pt idx="3">
                  <c:v>105855.75</c:v>
                </c:pt>
                <c:pt idx="4">
                  <c:v>51271.5</c:v>
                </c:pt>
                <c:pt idx="5">
                  <c:v>50735.5</c:v>
                </c:pt>
                <c:pt idx="6">
                  <c:v>45434.85</c:v>
                </c:pt>
                <c:pt idx="7">
                  <c:v>38948.35</c:v>
                </c:pt>
                <c:pt idx="8">
                  <c:v>28705.85</c:v>
                </c:pt>
                <c:pt idx="9">
                  <c:v>21597.599999999999</c:v>
                </c:pt>
                <c:pt idx="10">
                  <c:v>19742.099999999999</c:v>
                </c:pt>
                <c:pt idx="11">
                  <c:v>18381.600000000002</c:v>
                </c:pt>
                <c:pt idx="12">
                  <c:v>15013.3</c:v>
                </c:pt>
                <c:pt idx="13">
                  <c:v>12968.349999999999</c:v>
                </c:pt>
                <c:pt idx="14">
                  <c:v>11545.55</c:v>
                </c:pt>
              </c:numCache>
            </c:numRef>
          </c:val>
          <c:extLst>
            <c:ext xmlns:c16="http://schemas.microsoft.com/office/drawing/2014/chart" uri="{C3380CC4-5D6E-409C-BE32-E72D297353CC}">
              <c16:uniqueId val="{00000000-3AE3-4DB9-B562-B5485542C0A0}"/>
            </c:ext>
          </c:extLst>
        </c:ser>
        <c:dLbls>
          <c:showLegendKey val="0"/>
          <c:showVal val="0"/>
          <c:showCatName val="0"/>
          <c:showSerName val="0"/>
          <c:showPercent val="0"/>
          <c:showBubbleSize val="0"/>
        </c:dLbls>
        <c:gapWidth val="150"/>
        <c:overlap val="100"/>
        <c:axId val="1686079951"/>
        <c:axId val="1791697391"/>
      </c:barChart>
      <c:catAx>
        <c:axId val="168607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97391"/>
        <c:crosses val="autoZero"/>
        <c:auto val="1"/>
        <c:lblAlgn val="ctr"/>
        <c:lblOffset val="100"/>
        <c:noMultiLvlLbl val="0"/>
      </c:catAx>
      <c:valAx>
        <c:axId val="17916973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Red]&quot;₹&quot;\ #,##0.0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0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tx>
            <c:strRef>
              <c:f>Sheet4!$J$10</c:f>
              <c:strCache>
                <c:ptCount val="1"/>
                <c:pt idx="0">
                  <c:v>Sum of Profit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Sheet4!$I$11:$I$15</c:f>
              <c:numCache>
                <c:formatCode>0.00%</c:formatCode>
                <c:ptCount val="5"/>
                <c:pt idx="0">
                  <c:v>0</c:v>
                </c:pt>
                <c:pt idx="1">
                  <c:v>0.05</c:v>
                </c:pt>
                <c:pt idx="2">
                  <c:v>0.1</c:v>
                </c:pt>
                <c:pt idx="3">
                  <c:v>0.15</c:v>
                </c:pt>
                <c:pt idx="4">
                  <c:v>0.2</c:v>
                </c:pt>
              </c:numCache>
            </c:numRef>
          </c:xVal>
          <c:yVal>
            <c:numRef>
              <c:f>Sheet4!$J$11:$J$15</c:f>
              <c:numCache>
                <c:formatCode>"₹"\ #,##0.00</c:formatCode>
                <c:ptCount val="5"/>
                <c:pt idx="0">
                  <c:v>49780.71</c:v>
                </c:pt>
                <c:pt idx="1">
                  <c:v>158338.01000000004</c:v>
                </c:pt>
                <c:pt idx="2">
                  <c:v>58824.759999999995</c:v>
                </c:pt>
                <c:pt idx="3">
                  <c:v>89235.73</c:v>
                </c:pt>
                <c:pt idx="4">
                  <c:v>241371.69999999998</c:v>
                </c:pt>
              </c:numCache>
            </c:numRef>
          </c:yVal>
          <c:smooth val="1"/>
          <c:extLst>
            <c:ext xmlns:c16="http://schemas.microsoft.com/office/drawing/2014/chart" uri="{C3380CC4-5D6E-409C-BE32-E72D297353CC}">
              <c16:uniqueId val="{00000000-42C6-4F6F-92EF-AEE3B6C99A7A}"/>
            </c:ext>
          </c:extLst>
        </c:ser>
        <c:dLbls>
          <c:showLegendKey val="0"/>
          <c:showVal val="0"/>
          <c:showCatName val="0"/>
          <c:showSerName val="0"/>
          <c:showPercent val="0"/>
          <c:showBubbleSize val="0"/>
        </c:dLbls>
        <c:axId val="1684067119"/>
        <c:axId val="1791730511"/>
      </c:scatterChart>
      <c:valAx>
        <c:axId val="16840671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730511"/>
        <c:crosses val="autoZero"/>
        <c:crossBetween val="midCat"/>
      </c:valAx>
      <c:valAx>
        <c:axId val="179173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67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[Ecommerce_Sales_Excel_Project.xlsx]Category wise Sales!PivotTable1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wise Sales'!$B$3</c:f>
              <c:strCache>
                <c:ptCount val="1"/>
                <c:pt idx="0">
                  <c:v>Total</c:v>
                </c:pt>
              </c:strCache>
            </c:strRef>
          </c:tx>
          <c:spPr>
            <a:solidFill>
              <a:schemeClr val="accent1"/>
            </a:solidFill>
            <a:ln>
              <a:noFill/>
            </a:ln>
            <a:effectLst/>
          </c:spPr>
          <c:invertIfNegative val="0"/>
          <c:cat>
            <c:strRef>
              <c:f>'Category wise Sales'!$A$4:$A$9</c:f>
              <c:strCache>
                <c:ptCount val="5"/>
                <c:pt idx="0">
                  <c:v>Electronics</c:v>
                </c:pt>
                <c:pt idx="1">
                  <c:v>Furniture</c:v>
                </c:pt>
                <c:pt idx="2">
                  <c:v>Fashion</c:v>
                </c:pt>
                <c:pt idx="3">
                  <c:v>Sports</c:v>
                </c:pt>
                <c:pt idx="4">
                  <c:v>Bags</c:v>
                </c:pt>
              </c:strCache>
            </c:strRef>
          </c:cat>
          <c:val>
            <c:numRef>
              <c:f>'Category wise Sales'!$B$4:$B$9</c:f>
              <c:numCache>
                <c:formatCode>"₹"\ #,##0.00</c:formatCode>
                <c:ptCount val="5"/>
                <c:pt idx="0">
                  <c:v>2664680.5499999998</c:v>
                </c:pt>
                <c:pt idx="1">
                  <c:v>257284.8</c:v>
                </c:pt>
                <c:pt idx="2">
                  <c:v>108251.9</c:v>
                </c:pt>
                <c:pt idx="3">
                  <c:v>82085.45</c:v>
                </c:pt>
                <c:pt idx="4">
                  <c:v>38948.35</c:v>
                </c:pt>
              </c:numCache>
            </c:numRef>
          </c:val>
          <c:extLst>
            <c:ext xmlns:c16="http://schemas.microsoft.com/office/drawing/2014/chart" uri="{C3380CC4-5D6E-409C-BE32-E72D297353CC}">
              <c16:uniqueId val="{00000000-4EEC-45B1-9D1A-3A34DFD20363}"/>
            </c:ext>
          </c:extLst>
        </c:ser>
        <c:dLbls>
          <c:showLegendKey val="0"/>
          <c:showVal val="0"/>
          <c:showCatName val="0"/>
          <c:showSerName val="0"/>
          <c:showPercent val="0"/>
          <c:showBubbleSize val="0"/>
        </c:dLbls>
        <c:gapWidth val="219"/>
        <c:overlap val="-27"/>
        <c:axId val="1682909199"/>
        <c:axId val="1589065327"/>
      </c:barChart>
      <c:catAx>
        <c:axId val="168290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65327"/>
        <c:crosses val="autoZero"/>
        <c:auto val="1"/>
        <c:lblAlgn val="ctr"/>
        <c:lblOffset val="100"/>
        <c:noMultiLvlLbl val="0"/>
      </c:catAx>
      <c:valAx>
        <c:axId val="15890653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90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[Ecommerce_Sales_Excel_Project.xlsx]Sheet3!PivotTable1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 #,##0.00</c:formatCode>
                <c:ptCount val="12"/>
                <c:pt idx="0">
                  <c:v>89539.75</c:v>
                </c:pt>
                <c:pt idx="1">
                  <c:v>575195.35</c:v>
                </c:pt>
                <c:pt idx="2">
                  <c:v>291293.15000000002</c:v>
                </c:pt>
                <c:pt idx="3">
                  <c:v>148988.9</c:v>
                </c:pt>
                <c:pt idx="4">
                  <c:v>273715.55000000005</c:v>
                </c:pt>
                <c:pt idx="5">
                  <c:v>32207.85</c:v>
                </c:pt>
                <c:pt idx="6">
                  <c:v>396160.50000000006</c:v>
                </c:pt>
                <c:pt idx="7">
                  <c:v>563676.64999999991</c:v>
                </c:pt>
                <c:pt idx="8">
                  <c:v>420485.35</c:v>
                </c:pt>
                <c:pt idx="9">
                  <c:v>78868.399999999994</c:v>
                </c:pt>
                <c:pt idx="10">
                  <c:v>212092.4</c:v>
                </c:pt>
                <c:pt idx="11">
                  <c:v>69027.200000000012</c:v>
                </c:pt>
              </c:numCache>
            </c:numRef>
          </c:val>
          <c:smooth val="0"/>
          <c:extLst>
            <c:ext xmlns:c16="http://schemas.microsoft.com/office/drawing/2014/chart" uri="{C3380CC4-5D6E-409C-BE32-E72D297353CC}">
              <c16:uniqueId val="{00000000-39CB-443B-9B86-6A4C1C541F9E}"/>
            </c:ext>
          </c:extLst>
        </c:ser>
        <c:dLbls>
          <c:showLegendKey val="0"/>
          <c:showVal val="0"/>
          <c:showCatName val="0"/>
          <c:showSerName val="0"/>
          <c:showPercent val="0"/>
          <c:showBubbleSize val="0"/>
        </c:dLbls>
        <c:marker val="1"/>
        <c:smooth val="0"/>
        <c:axId val="1684077327"/>
        <c:axId val="1589073967"/>
      </c:lineChart>
      <c:catAx>
        <c:axId val="168407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073967"/>
        <c:crosses val="autoZero"/>
        <c:auto val="1"/>
        <c:lblAlgn val="ctr"/>
        <c:lblOffset val="100"/>
        <c:noMultiLvlLbl val="0"/>
      </c:catAx>
      <c:valAx>
        <c:axId val="1589073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7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[Ecommerce_Sales_Excel_Project.xlsx]Payment_Mode wise Sales!PivotTable4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doughnutChart>
        <c:varyColors val="1"/>
        <c:ser>
          <c:idx val="0"/>
          <c:order val="0"/>
          <c:tx>
            <c:strRef>
              <c:f>'Payment_Mode wise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F7-4936-AE29-FFB52DFDEB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F7-4936-AE29-FFB52DFDEB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F7-4936-AE29-FFB52DFDEB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F7-4936-AE29-FFB52DFDEB3F}"/>
              </c:ext>
            </c:extLst>
          </c:dPt>
          <c:cat>
            <c:strRef>
              <c:f>'Payment_Mode wise Sales'!$A$4:$A$8</c:f>
              <c:strCache>
                <c:ptCount val="4"/>
                <c:pt idx="0">
                  <c:v>Cash</c:v>
                </c:pt>
                <c:pt idx="1">
                  <c:v>Credit Card</c:v>
                </c:pt>
                <c:pt idx="2">
                  <c:v>UPI</c:v>
                </c:pt>
                <c:pt idx="3">
                  <c:v>Debit Card</c:v>
                </c:pt>
              </c:strCache>
            </c:strRef>
          </c:cat>
          <c:val>
            <c:numRef>
              <c:f>'Payment_Mode wise Sales'!$B$4:$B$8</c:f>
              <c:numCache>
                <c:formatCode>"₹"\ #,##0.00</c:formatCode>
                <c:ptCount val="4"/>
                <c:pt idx="0">
                  <c:v>1938489.4499999995</c:v>
                </c:pt>
                <c:pt idx="1">
                  <c:v>788757.15</c:v>
                </c:pt>
                <c:pt idx="2">
                  <c:v>345622.85000000009</c:v>
                </c:pt>
                <c:pt idx="3">
                  <c:v>78381.600000000006</c:v>
                </c:pt>
              </c:numCache>
            </c:numRef>
          </c:val>
          <c:extLst>
            <c:ext xmlns:c16="http://schemas.microsoft.com/office/drawing/2014/chart" uri="{C3380CC4-5D6E-409C-BE32-E72D297353CC}">
              <c16:uniqueId val="{00000008-2DF7-4936-AE29-FFB52DFDEB3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[Ecommerce_Sales_Excel_Project.xlsx]Product wise Sales!PivotTable5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Product-wise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wise Sales'!$B$3</c:f>
              <c:strCache>
                <c:ptCount val="1"/>
                <c:pt idx="0">
                  <c:v>Total</c:v>
                </c:pt>
              </c:strCache>
            </c:strRef>
          </c:tx>
          <c:spPr>
            <a:solidFill>
              <a:schemeClr val="accent1"/>
            </a:solidFill>
            <a:ln>
              <a:noFill/>
            </a:ln>
            <a:effectLst/>
          </c:spPr>
          <c:invertIfNegative val="0"/>
          <c:cat>
            <c:strRef>
              <c:f>'Product wise Sales'!$A$4:$A$19</c:f>
              <c:strCache>
                <c:ptCount val="15"/>
                <c:pt idx="0">
                  <c:v>Laptop</c:v>
                </c:pt>
                <c:pt idx="1">
                  <c:v>Smartphone</c:v>
                </c:pt>
                <c:pt idx="2">
                  <c:v>Desk</c:v>
                </c:pt>
                <c:pt idx="3">
                  <c:v>Bookshelf</c:v>
                </c:pt>
                <c:pt idx="4">
                  <c:v>Jeans</c:v>
                </c:pt>
                <c:pt idx="5">
                  <c:v>Running Shoes</c:v>
                </c:pt>
                <c:pt idx="6">
                  <c:v>Jacket</c:v>
                </c:pt>
                <c:pt idx="7">
                  <c:v>Backpack</c:v>
                </c:pt>
                <c:pt idx="8">
                  <c:v>Keyboard</c:v>
                </c:pt>
                <c:pt idx="9">
                  <c:v>Office Chair</c:v>
                </c:pt>
                <c:pt idx="10">
                  <c:v>Headphones</c:v>
                </c:pt>
                <c:pt idx="11">
                  <c:v>Yoga Mat</c:v>
                </c:pt>
                <c:pt idx="12">
                  <c:v>Wireless Mouse</c:v>
                </c:pt>
                <c:pt idx="13">
                  <c:v>Water Bottle</c:v>
                </c:pt>
                <c:pt idx="14">
                  <c:v>T-Shirt</c:v>
                </c:pt>
              </c:strCache>
            </c:strRef>
          </c:cat>
          <c:val>
            <c:numRef>
              <c:f>'Product wise Sales'!$B$4:$B$19</c:f>
              <c:numCache>
                <c:formatCode>"₹"\ #,##0.00</c:formatCode>
                <c:ptCount val="15"/>
                <c:pt idx="0">
                  <c:v>1680250</c:v>
                </c:pt>
                <c:pt idx="1">
                  <c:v>920969.29999999993</c:v>
                </c:pt>
                <c:pt idx="2">
                  <c:v>129831.44999999998</c:v>
                </c:pt>
                <c:pt idx="3">
                  <c:v>105855.75</c:v>
                </c:pt>
                <c:pt idx="4">
                  <c:v>51271.5</c:v>
                </c:pt>
                <c:pt idx="5">
                  <c:v>50735.5</c:v>
                </c:pt>
                <c:pt idx="6">
                  <c:v>45434.85</c:v>
                </c:pt>
                <c:pt idx="7">
                  <c:v>38948.35</c:v>
                </c:pt>
                <c:pt idx="8">
                  <c:v>28705.85</c:v>
                </c:pt>
                <c:pt idx="9">
                  <c:v>21597.599999999999</c:v>
                </c:pt>
                <c:pt idx="10">
                  <c:v>19742.099999999999</c:v>
                </c:pt>
                <c:pt idx="11">
                  <c:v>18381.600000000002</c:v>
                </c:pt>
                <c:pt idx="12">
                  <c:v>15013.3</c:v>
                </c:pt>
                <c:pt idx="13">
                  <c:v>12968.349999999999</c:v>
                </c:pt>
                <c:pt idx="14">
                  <c:v>11545.55</c:v>
                </c:pt>
              </c:numCache>
            </c:numRef>
          </c:val>
          <c:extLst>
            <c:ext xmlns:c16="http://schemas.microsoft.com/office/drawing/2014/chart" uri="{C3380CC4-5D6E-409C-BE32-E72D297353CC}">
              <c16:uniqueId val="{00000000-D01B-4D9F-9761-B17EA907F357}"/>
            </c:ext>
          </c:extLst>
        </c:ser>
        <c:dLbls>
          <c:showLegendKey val="0"/>
          <c:showVal val="0"/>
          <c:showCatName val="0"/>
          <c:showSerName val="0"/>
          <c:showPercent val="0"/>
          <c:showBubbleSize val="0"/>
        </c:dLbls>
        <c:gapWidth val="150"/>
        <c:overlap val="100"/>
        <c:axId val="1686079951"/>
        <c:axId val="1791697391"/>
      </c:barChart>
      <c:catAx>
        <c:axId val="168607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697391"/>
        <c:crosses val="autoZero"/>
        <c:auto val="1"/>
        <c:lblAlgn val="ctr"/>
        <c:lblOffset val="100"/>
        <c:noMultiLvlLbl val="0"/>
      </c:catAx>
      <c:valAx>
        <c:axId val="17916973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Red]&quot;₹&quot;\ #,##0.00" sourceLinked="0"/>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079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vs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smoothMarker"/>
        <c:varyColors val="0"/>
        <c:ser>
          <c:idx val="0"/>
          <c:order val="0"/>
          <c:tx>
            <c:strRef>
              <c:f>Sheet4!$J$10</c:f>
              <c:strCache>
                <c:ptCount val="1"/>
                <c:pt idx="0">
                  <c:v>Sum of Profit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Sheet4!$I$11:$I$15</c:f>
              <c:numCache>
                <c:formatCode>0.00%</c:formatCode>
                <c:ptCount val="5"/>
                <c:pt idx="0">
                  <c:v>0</c:v>
                </c:pt>
                <c:pt idx="1">
                  <c:v>0.05</c:v>
                </c:pt>
                <c:pt idx="2">
                  <c:v>0.1</c:v>
                </c:pt>
                <c:pt idx="3">
                  <c:v>0.15</c:v>
                </c:pt>
                <c:pt idx="4">
                  <c:v>0.2</c:v>
                </c:pt>
              </c:numCache>
            </c:numRef>
          </c:xVal>
          <c:yVal>
            <c:numRef>
              <c:f>Sheet4!$J$11:$J$15</c:f>
              <c:numCache>
                <c:formatCode>"₹"\ #,##0.00</c:formatCode>
                <c:ptCount val="5"/>
                <c:pt idx="0">
                  <c:v>49780.71</c:v>
                </c:pt>
                <c:pt idx="1">
                  <c:v>158338.01000000004</c:v>
                </c:pt>
                <c:pt idx="2">
                  <c:v>58824.759999999995</c:v>
                </c:pt>
                <c:pt idx="3">
                  <c:v>89235.73</c:v>
                </c:pt>
                <c:pt idx="4">
                  <c:v>241371.69999999998</c:v>
                </c:pt>
              </c:numCache>
            </c:numRef>
          </c:yVal>
          <c:smooth val="1"/>
          <c:extLst>
            <c:ext xmlns:c16="http://schemas.microsoft.com/office/drawing/2014/chart" uri="{C3380CC4-5D6E-409C-BE32-E72D297353CC}">
              <c16:uniqueId val="{00000000-8D08-4219-9D36-FE51CDFB75BF}"/>
            </c:ext>
          </c:extLst>
        </c:ser>
        <c:dLbls>
          <c:showLegendKey val="0"/>
          <c:showVal val="0"/>
          <c:showCatName val="0"/>
          <c:showSerName val="0"/>
          <c:showPercent val="0"/>
          <c:showBubbleSize val="0"/>
        </c:dLbls>
        <c:axId val="1684067119"/>
        <c:axId val="1791730511"/>
      </c:scatterChart>
      <c:valAx>
        <c:axId val="16840671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730511"/>
        <c:crosses val="autoZero"/>
        <c:crossBetween val="midCat"/>
      </c:valAx>
      <c:valAx>
        <c:axId val="179173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671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IN"/>
              <a:t>State-wise Sales</a:t>
            </a:r>
            <a:endParaRPr lang="en-US" sz="1400" b="0" i="0" u="none" strike="noStrike" baseline="0">
              <a:solidFill>
                <a:sysClr val="windowText" lastClr="000000">
                  <a:lumMod val="65000"/>
                  <a:lumOff val="35000"/>
                </a:sysClr>
              </a:solidFill>
              <a:latin typeface="Calibri"/>
            </a:endParaRPr>
          </a:p>
        </cx:rich>
      </cx:tx>
    </cx:title>
    <cx:plotArea>
      <cx:plotAreaRegion>
        <cx:series layoutId="regionMap" uniqueId="{00000000-7DEE-4B53-B1A1-705411C658BB}">
          <cx:tx>
            <cx:txData>
              <cx:f>_xlchart.v5.2</cx:f>
              <cx:v>Sum of Profit</cx:v>
            </cx:txData>
          </cx:tx>
          <cx:dataId val="0"/>
          <cx:layoutPr>
            <cx:geography cultureLanguage="en-US" cultureRegion="IN" attribution="Powered by Bing">
              <cx:geoCache provider="{E9337A44-BEBE-4D9F-B70C-5C5E7DAFC167}">
                <cx:binary>1HvZct24suWvOPzQT00VRgI4fepENEjuQXtrsCyPLwxZkklwBAmO+Pqb8lSWyuWqG7c6oktRIZfE
DQLMZGautTL179vlX7fV/U3/bKmrxv3rdvn1eT4M9l+//OJu8/v6xp3U5rZvXftxOLlt61/ajx/N
7f0vd/3NbJrsF4Iw++U2v+mH++X5f/4Nd8vu22N7ezOYtnkx3vfr1b0bq8H95NoPLz27uatNExs3
9OZ2wL8+P7uBXW5cPvQ3z5/dN4MZ1uvV3v/6/NEHnz/75entfrf1swpON4x3sBarE8YJkpQr9OkL
P39WtU325bIITzCSihKmPn/xr1uf39Sw/C+e6dOJbu7u+nvn4Lk+/ftk8aOHgGu7589u27EZHuyX
gSl/fb5v7gw8uXFt9PlC1D48wf780yP/8tjy//n3k1+AEZ785jvnPLXYn136nW+uboobN+Q3zVfz
/M89Q8ITLhkPQ0w+e4Y89gw9keAUFCr8Q8/8pRP92C/fLX3ilavTf5RX3ty74Zm+b7Kb6m/0Cxie
8xCFSP4oYqQ4UYIgikL2dc/PofIXD/Njlzxa/MQpb/Q/yinbsYA0Nnw1zt8QKOQkVCTEgn0JlCcp
DJ9wJVCIMf8cKOHXrT/75S+c58c++bbwiT+2/6wgubgzLv8bKwpBJxxTxBiUlM9fj/KWZCeMSM4o
+lJwnlSUPz/Oj73xdd0TZ1xc/aOCI76vcvP1/fwbQkOehIxSqBLhj3KVECcQFUxI/qWGPAmNPz3N
j13xZdkTT8THf5Qnrm9qUz07v7kb/z53YHyCcIgRkvJRTAh5wpBABHHxdbPPuemvHeLHXvh+7RNX
XANk+geBq8N9f1P9jRkKoxPGlBRCQIl+DHYZkiRk+Eu0AOL6jLM/e+PPz/FjT3xd98QLh39WQBxu
+uZmuCn/TkewE4ERI+wPKjeQj1AozCGDffqiT/zxV070By75belTr/zf/69j48dh+z0bfPSJ/yYb
JOSEciIFUl8srh4HiDqhIWUYKf6NknwfIF8Y2h+f5sfO+LLs0cH/H9O9P6aC38hyDC978ollf8cG
f3710+MB/X+y9Gdk/bOt9nfAxDlV8IJ/Y+8PN3mUfk5v6np89r9uavt/nh1AB6hN/zUevlt/Dzz0
1+fA24VElClBMWOcYkhlM7AhuEJPAA9wBk4O4Z/woRQ1bT/kvz6n/ARTxbEUVAhFVAjed+346RI5
ISIkWDIMyC2EFPlN67hsqzVrm2+W+fLzs2asL1vTDO7X5ywEkGc/f+7hqAHBTDCBBIcEbG9vrkBI
gY/h/92QMcPj6Py2TnukgyCdsc4R8zofzXRuWRm2iUrTzmgczLnXo2NlgoKuO6zLlO7bLOs2ay74
edgseYzWRcRVPi67irZ1EgxpVkc2yHC7GTme4tShUs8pdbprh3VfE0F15fL1zaIqtxVDjhLXoXzX
1n13gUdSvsn6tE8K0ebbGs9DNI9VeVCZUvvGz1RT09RJ3eT9aW0mpglW5kaqPjwIQ4SJ08KqKXYt
5bEsmN2WdVlvpnWqdGvn0Ok5o8XLtmsGqoXE8ujHLCiivF2G+0xIt0Q8mMj10ATt1bB2Zj103WQO
ay/J0ZIl2KSyTbdrzu5Y4X0UynAZddAMhW5LUs5RSizbtnmY3la8nGLvGTl0xWTjxTX+XVBORbL4
ge5wWvLTUuTr9VgCcTq4zKU0UlXu2gSNNao1Dmt+1vRs1DmpRt0Gc3rghbAfWOknPTgbxDILcFQM
HY2VQ/19WzTlG8FX+yYzatwhZslbkZeLiBDPm1NT03XrKzUOkR1MfzvSMT2lIw7JNheyRFrlju/n
YEKtJoUJroOgFsuZZyKFdWOlPq7Y+121eJJpUwX9IUSZvQmsKbkmbFJRUA9DYlCF4tQXcBdjc5tF
I+2HxPVLsGs8JUnuQxz7Klzj/OGTNCRrqTMzkquQjPXHbgYvxKSn9nVp2FJqqTqbvXJ0llNUT6Tz
2odO4KhCdd1rVsrsog4F3au6yy85qUmEbZ/m4O52JmC2vl2jbszXyzRLF+36okoY3JJc9nDEm7FY
RpzwYEBxs3a81yIYlqQJ5naTelER3cAu+5wF66bOcfpxtSGcydWKV8mEcxVEGF6VPEnnjlyJ0KU3
Co2l1DwN4NuCSeJrw4s4V6sKN7TDzTE1g4uRaPsXLSFVr72y2GxGb4uIEG+uDKuyj7yzebSkrU1W
YlYb8RY3ja76fhi1nb2jWslqHHeFDNBdyoP1xucev6KwLY/bANOPSM0SQjrjbRdPvnazFlSiAOLH
2VTbqRqms3pqJI2rklmpZUXaNl4mznaK11O6IYGQ7DI33pqYTX3WJGuxhLnu8jHPk0r2/CU1opw1
tUFd64G7hiQF7mSlyTKi+3nt2n0wGIz0UPusj7usEY0OUMpP8Soyp3Gl1FW1LLcETWy/4pbfssZX
O4Sq4WrJuD0uY1bGHnfsEoyiWISlXV4vQZHdMCrNvg77cm/XdNj2ZKS1rsJBXYhSkZeVdTU8q88J
jep5Aj8taTUccOHnNuZrbya9hmq0ydz7cafyIHupiB1jMll135MWl/EyBMNrJUz+wfhi/pClxbQJ
u3Q99zabL03jgtNh5fVloTgfdNYH7awZXtn7oF/pogdB60bXHrXHCpwUz3WbvYeb1LsiR+jSFZhF
M1Pvy6a0SdXY8Oinqonk2PPETLI6Divl7yXLRKGbMTNauKJroiEdTWIF5B6T23KKcInNGk2E830t
aXtaU2OrWIoHrw2CpMeiEMtuDY1M8r5GNlmsTI/c4UpEfYC6Sne9cDYB66Abbpl6FdKxTpBz6qr1
1Yu1aeYoWxarJyabDQ/k2uiFj/Y65JM61LZaoowxc9uSnJ2O3K8Jmka0pWyp9lNBTcKdkRH1bbkj
JuBxxfM54V03xxDqfdI+5PRmLUXcDSw4DbOFvasyV63a5Kzf8pmqqFwrcx5A3jurQWK6UC7o45yn
U4za3l1xyPOXXTalcdO3commsey24Zyzy3Bk5TV2QX6PRaNyvZpySkZJ1MHXS7EDccTsxobP24Zl
walVOd+xmTRtVC1u6WI718VZxuu5TDCd/YcsUG5XlLW5qoO82M/L8EL5VlUxZEtWaVUo8g7qtjq0
fekqzfkavvDIOj25bO6iTqH6VA5ubS5YOiyvi6XNPxZFmV2NBU2viV3KCqJjVh+y2RVR4Hp2jjMC
LZC6Dt+MpujjBXkZKbPWO8YGL7RqcLBpQsGwNtMsXtQLFceq92FcUT8fpz5g52GXC6JZgdPTLCta
7VE27xUxZpPlnu6HYMoyzfEwbERQVFdcuDoxJs2x9jbv7xGnJj8nYvI3gaTY6aH0iGhUtjwq6LIc
c1NkUbamgV6RZEcv6+kdcVmxQQyNkYcqtp1U3T7keJlbbdK0jDBmzWlXUnvuZSgspMCO3NOpbc5z
Cem3dGurIiS9190o3W3qZauxb8hmmrvg1Es/3tcSUnKL3fSyz6AMacF4uaUik6dZl5U3xCjW60aR
7CIrc1RHa9WbTcc5jbI+pPtxZAyqgRXjQcwYH6YazbEK0Li1tDDblbWQ6QJYszc4K49tly6XhczD
7eBRcepC2YE1h+5VOjd9VEM5ibJmTXfl0rqrmfd+E8hUXLtCTZf5NNOdr1eo14B0DzIIz3OEm72b
AgZgwI0Q2kUojgrq6ofv2yyPQN9tayFrZfmXHte3H/9z3dbw36e+y2+/fGiR/fbT2dfe2tNPPSD0
bx/7rXnzgIq/dXKe4OzPjbY/AOE/vfjXEDol4QOQ/WOE/r3k8huw/7LsMzCXCBgWpQIinUsloVR8
A+bhCcEIUHdIkeSKCtjqCzDH9ISpT3opVaEA9RTQ/BdgLk8ARRNYxZgQwCBQ+N8B5gDwv4PlAMmh
0ycVfOOwG0EEP4bnfUflGC5hn5jMXuK0nnQZdO9rRrOo94MOhvKUucXvRlfm+jtL/YAThPTh5r9x
AsGgnSJCrgjYBPgKPOjjzZcAo2IWtkpwFfhdOoRZFAz5GvWQEfUwikH7qiBH46Z8O1pkjkOL0W2z
qixRdsnrJB8YQA3l/XI+cen04hd+aHq/6J4betr1qtGmd+oMcIiMx36d2l0a+mzdpcjGaW/Fiwmo
U3lma2miLgyvaQ4lQGQEbih8C8limfEFazGAxzF0Z5mpS6NNOUQtH/ymCqkdNK8cPRfMB9cYdW7V
tqb+Rb9m5EikC66FZwtg91ZdzDTzWgjKzrISNVsTBOurwnQs6URaaVwsAKGqcNySFfGDKie15cYs
e89Aeo+WPgiMJiIPyh0THTkK3oUu7gMzzvug4y09dGnQ2S0TNN0CKDe6D9KwjNp8le9lygoalcSS
K6pwZiNAlUOuhwCs5ui6W6fCHQfAFbu57PL6RU2z6b5OV/SuYc4VGvGgWSPkG1iqyDy/nbMsL3Ug
5/plQ92bsQt4MqUk14oMB9mwg2oau8uK3u2mXppt0QXvwxGpMzSyBUrGuHS6Gt1IdFkWozmEkN8H
yFzLcj7azoOzyvIwyaXeVnlYbonM5BgVnWyPDRFkn1dLvaNTPl9ntC22Kp2z2PSj3zgng8SP4G6H
S3RTNSFKwsa6NFKiXrZloC7qtZuPqjTZprS9PaNBuW2J4I3mc74CJndyhwdXJAoihwMyG/FxNXNu
o5rXgGOKObUbG1Tg/r72G8B1bA9sbtFNQNRmYsTH4TC6N2GG5RtRlujMFhbe6YwfJO6odg/v+ZCZ
KuqQYmd07dX1FLZG5/U4xLNrXULR4mJeK8t11uWLBg+6a0GAT0Gh78uXMnMKxxMPOW6jVQUuj8u2
w6N2zszvCzlSvLGhJAhMjJouLt1kIFrwzMsN874ONZ2BRG1qY/y5bAT90ABKuEK0MTnUh6Haro1c
X840FfceUMFLMTv1ahgc6fSaj8H7wpDlaMaaXdMyRDhe2qUT5ywvVZ00y9T2cTrxdN7gIAB4pHhR
RDMyUPuXssva/VBm8we7LmbUU0HIsehxj99L6YD7AaeMHiSLDuI6LD64pa8uARuVgOjH6toZwndN
2+1dY/hOVvNHPwRW1/0yb8qG0o9ZK+ydWVyxWzNuzrpyzPe+H8oYp9Y3YE46nYcqtwfEjYWgXvDw
KpyJui1Smu6DNvRxwKsgatw851Hmar4rUVd0scHOnXnc58lKm/4NTasuqcYZn6PW85vUT81mnFvz
EfqWOJmbublqgkm+bGeFb+rMh5d49OM2zVMw4SLdq7TI2201OXQclqx+mxe8e90WlL4SUrF97mal
rV2HNAZqD1x/HMt5a52rGl02ABkjkxrc31aGNNkhpz0wnLqoJHtFWtMC5oWVb3ufbtNizT+mKQ3F
jq1o9AnOeet3ZA4804Mp1qQN241cc7pqxX0t42LsFxRlqGsAqi1rqB0OFMDBYjI38KYtq27SfIWE
JJRBcWAgG68A3rIoL9u02Ag7r01MH3D9KDqhjoNd61NPV+w2HStxpmVA5D7tJH7PA64ux95P+w6J
9I2jpE/jIpjmIC6a2QRJmk4QNpMJ0ps8XCuh00HNh2zl8+uxaAaxT0lv0rgrSv8Cd0XlIkzzKUkz
s9w0xWLPhz535DSvpUqmYH23zkFD4jUDwzRTFbxsRmrvgWZNe+eBWM+CTCNIImMj9TqtQxeHa928
hZffZ0ntpyWL5rVUdFumQ1vokXcr0t08hXNUi25w0Th0Q6nZbPG7xU40noa8xEDmUcN0OHbDu6CZ
HUtEadmbmln0tjOZiVDnya0ZBxJR5lWsBt9vEPCSi3kJ1Z0DOnOOukUVW8oH1IBY41MfVT5tt2sG
HDqCj5lDN3S+jTIr6HW6PlDnmUHQ65YN3W4tejhAXfoy03Xu51TPuBiszsoCiGvpSmshZ4Jmr3O/
mmrblmsz6DTjYx2RkPplI8vZBts6bGWgyUPdgfmi9jWUnjSLV2B9Y9Quk31VmsEfyr5QG3BZE82F
HDasrJZjZ1MoeJlqlEadGE6ndnIgMeQ0GKK6rZvLLnVjxBmEgw1KAUxz5ZcuXYH8q1rQi2KawnPM
qj7KOtIc67WfIZv6/FCrbt7m5WhATZFhAZw2ZAr4kaX5VYAVDuMZeRdoNs3oIdADAAlDT5IMKXlX
rDW8t+Nq1AKSmnIfe6AVF96XtI3QAAKcQxkgIdUO+duaTSyWqB1eBGW7pUO4XOYzVle+nLPXeOAg
ypFVRKByjrW2OUk1a2oe5UL1R5dn+YUTDsKWhAF7VbXddDsBQ4SYMb3QBGXronEeIh+ByIs0Zbw/
kz4/rqxJqn6Cgjx2bstQawFBkPx6Wor5fPIWFuesK88JyDCXlanoOVtwOOlZBOZqGQakVzagQ56u
oA2BcDK11dUY5JMOWo8jwGQbg7ImBgB7yyYgzHPYX5RrhnS9phaInIX9YGG4mdJanA7t3G59GZKo
tjbfMEtnp2XRyMs5b1WhQ4dpHZeEkVa3oW0PbSnlW6hyc6hbeKkABwEQ+lhPuT9fnQXSLk3gQYsr
QqpHalih5wkOtCd5DYyKlAxp48b+fly9HLZMmuF2lHkP+tgwTbmeemt3YiLoWFbNRDTIQcZGRS1W
DqmVN04rXKfzvjGhhVtnHtBaWY/NS8bW7uDWwY/RVDEnAfJxqId2NOMb0JbIm7lDVQIEz4POA1Al
1EM48lpDn5eZpOhQeOttKV6wPp1fYw+QMgLltjzNJLU0GoAQmqR3qH3VZbVbEjxPEE/1qtRl56w/
L1E/7fpGsOsiSNUOEVJc0CyUbxdX9iha8Fi1cQlyr92ni2ElHDqEk0yQwG2UqYoY3fGyv1clMflm
8qQGqXou1peccp5rQOyERc1aIL5DS9sfxwDk1gRE/faYF7X9OIgMtskKvEwPfmGQV13eVxEOGSQx
YPfcHfturuaLpmZhpfssGJuoqqfJJ6BerOlFhhbZxEWGwet29WCgolSmioFmD3zD15y8nEBZD07H
VGQoKSZCplMVdpPcYFwC6GgrdTpOopIAe9ACCDhMkQZBqzy1aaEcoDUir62fyRuRo/ANBHUxnWLW
00ON8+XoIemUkNJL8Wq16dQclrDMO43M3M26XBSnsTSqB8hqF3vwTRXcyKAzS5wGHnRBgQBGJSC/
OBMRYA7TZkDh2EfgE9Wf5muavqmqqXjdr9Vkjj4fQrnnw5ztq7YfN3nfBfcIF+lpmeKw1Qiqyn5d
ZkjFrcyLt3RmKAeWEAxvwNv2jGFfVJGv6bDnkMx3qavIwbOsB6CTDse6LSoT8bQFTQ8ePVnhEGO0
hGw5txOv8ljkWep0AfBojK3q+PWACOjUf8LHMHpKxzhRMK0goPnK5UMT6TEdg1bNMFaGDUmKUbVv
h+xDY5qXHbZvqapfEt5AYRW5igFkvnfF5F/8nA8+dIIesUHYHtrwMOPIoUWM0JNOUZk6UpdzMCR9
6jodeNscwfjV4ee7fGK0T7dR5IFxItgHBsUeP+Xq/ERmz8ZkygbghNMIXQMR0EDuWO5B9i8nWxNN
VJPfNVCeSEzmroIOyVTNb/Gy8v0aNOMxtPVwVRqhzh5MFoUMkfNgtutbQoAomDLMmmiEujhcgkjX
pptPD/GlR/mFO3/ur32viHwvkPyPpJZHN9retw/TDu4foMcIhSihoIX8sSLzbUbvNznm26ovnVKY
RxMhVdCjpBTmNn/rlIbyBEOjm4IMQsBhlMEr+EWQIQ+DCwTklk9qDObhb4IMjL9h/NDOwIwQDJCC
/XcEmadRgGAHCWEI6g8mAouHIP2uXwpa6RS6ahHJwPMq196v65uchMvnmWhwLHSjv7xA3zdkYc7r
UbABugkZEOVQQZMXnuvJNg6mXYs5a8IkZOX0fkKB3ADwyHo9DeW0zWo7bb/zwg82xCBz/W7HkH8S
fWDYAMuHE33/YLUv5VimYSLwogAh1ajKI4Ai9ayBgDZxHdbmpRxFsRtSeTXOSAW6U7V/36wUb1Gn
HpTQnJ7ibiIJ8WNxqtZqPgNq5Y94Ke3Zn5z3ccNasAcLgcsZ5zAoD53rJ+moEEG5zksjkjJt67t5
WssIOoHwvQQQCyQllQAoRDhrI9u7vkX+blzk/HrNCrvlY8s+ZkDZXjXQ6z3NFt9+/PnxyO/fEzge
pUhAe55CLYT38XtzCtUhW6g1TEZs2ZnxuFwiAyJQLNycH6B5JlrdYIBg1UAXaKijbDeArJXAmeUu
X5h4Q9asvliX/ICx3aM8eLFkGCBOOgHC0lCpy3cUhgm2U8r6y6ol7Qfo5JdbEE/s1c+fhT0VIR9M
DcNZVBJKYUzhQSH9/lmk8TMaRsoTO1YAeXkvgdIsJIuhfZSfzr0Zy6imiCdB6+a7JpzbVFd1o0po
mA58ByQpeDEuy/AuZBMNNIa+Z10G/O2CS9CD+JnoDYkbYaZIVEF20dBx2g8tUIs+K95Z3kGtTvlb
xQd6PgRj1DTrhVzNtLNrWO/LvgLmUTfdkQWpt5rkM0hFxOB0k9cN4B6YOkvGVcJ0QDXTs96i/E6G
PSh9eKT2wMPOnw0F6Gk6h2x0gLbYvOqCBGqIW78Ub39uy0+B+315A1sKRGHaVmCKaRg+CTMraldy
t/IEp7S+aFHZbNpiRkdJ5BZGRz4GxbxcAOMBKlIvMq93Yw8iSthV/Qdmu+Gsy+apBopHxH5uqyoW
QQfgvWmgCR6k1F62eQuKHjSZlkNm6/VOgQTycrRpe1DVErzFtMyO1odZFlXWAPsAoHiU5VhshjFE
f/LiQGb9XU6ByHwoCaCrcwiFxy+OlchO4iEIXNlN51lNxvTBtGxvIa1fBtB03XQYE53iChTZTmYH
ajmCzqmUdoc9k6+44+t9P2fo9ud++EF+lQ8pBBoIMIkrP43DfJftqmytp4rPPJkl4RHt24/5tO7Z
UC6xWCaYJ/9W4X6QW39gBkBN0BNAiEoMKf2xGVqoD7NcB56sqxNvUbu2D1FcXPx8lx8kxEe7PInS
ShYmdBQaxiU15h7B308d17EB8Y0Nzbr5+V4/yAgPXQn1UFElZeQJFIVXEpgn6XjScEoONKj9nQ+7
8Aj4H12RxUHabUBZazVFqLlUTdrHPz/AD0yqYGJJwaQ05wz+94lJg5nbLuc8qQYxvcZzx/QCMxp/
UoXJw22+j1bA2QAcOJeQwuFvssST9guBlCvXqgiTifdX1pEsqtG6Lcz0YoFGmzIXS0Mjusx3y7xG
Y14FFx5XKUgYLeh0dF5jNY4uGnLWvgidnbciG6AfsVw5YjvoZMO4kzVZpRGIoJYtZNVU+T6u5+6+
AN3p5yZ7+n5wCUP+0LWCBjD0kxCF0bbvs7hnvuzGsBcJMIY2gskBqcN1ymIftsGfeOd3ZoOu10Ph
g3Eh+GsoLp+8HrlPSSWA1CaiCrPTdC2DnUB+OmR9U22oS8cdmFr9yaYABZ9GNczPQb4BuASZFZpw
T901kwFmfvCcJkAGrrkp24RmsofuwzK/pV0Lujpe3FWQmX2fze+EakAOnVdyU2QE6wHlB8A+ehVS
aJqGl86CAA3Jrdua3m6robHapeZdSty7dsJbg+ZWS1lCg6ZOQduohlaLedmDHsw0jFGgSxXONupq
ULvMmmf6QbfWBq1o0+OUn8Hs2BIDz4dRsqDaiGWG3kwK+he19Yuxy5VuOmhlQzytoowg6e9LJl9m
qh0vfHjDrL9rQDi7aHzN44bz7K1rg/Ei6AqymQuXPUxdYV13sta9E8W2MmEDqlFXFe9WH0BHYDRN
HqnFTXekUv2W5cDgdT1Q9m4xRG5gPuHa2umyl1uQzTX09fFtanif8BQmWUyQ1e8F58broeL9hndl
mTRG2d1ScdAk174+Z6D6XuIlTEeYIOuGBBcwVYj7kdw7WsqzuhZuA/10HKemnKH9g6c08XMo6jiF
KvW+dM2cGNcsjS7WyFb/xdx5NFlua1v6DzU66AlOaQ6PSe8qsyaMsqADYUiAJH79W3n1+krKkHRf
V/SgJwoplcVz6Daw1/rWruQxlp0oAbhxBgbGROjYVbtfdNhG901rVZF2e7WFXpWJ7SjaydXBGMJO
fDJ2gKQflcseAFtbw6thNU/Kmh89dpcvXSCGQ+jAEWbUfuKtOs98mw+zARLVBMp/UX0f3ttBx9Cc
peA41kggXLksz0J1zzP3sjFDr+2QRsdFag1ykpExH+iWFD5Z7K2G7Vn7bozvFkv592nGbTOaelHe
tOwntUtWQ/Cej56i8n4eqf86KTl+WruwnvpFLIeu3+idEFxC2hyNzjfmtXHBA7WX6PP355G55T5s
dvMsgz4rFJijJ9I2spaCDDdEKnZ0sCcfBmy0bkyv2qKH11z6iqf45ETeNI6Yalg3rzIR9b+Qxtcn
2A7xTaClKlvcvaPr+XLfmvGrtun+tX8/wxWmY60be+exqHbiyfN9v6B8v4Vgf92QdK57+Mcn4FPi
W9P47ZPw8Eiq0HTYgFO/pGrwzyQdXblAli9d5sBlwoa7T9Xa3gxKuNKTu1+IXU8/qTdvB2Kj/cyl
5rdTTH+0Kn6bPK/J4IAIYGw66LZP6ZyKY8RWECg7dOY23KBczq070bWfcqPZJy3nTzJbTZ8vsa+/
jsJfXhgdkiOkal5n4S4qiOFBgc4HKhvXcalBlB57LceDJpRVMbySwveS6SXSE7nu8K1K6Tf45WF6
QIXdjoqr9eQvYVLht1gdpOtVM9sfYcwuo9jg2PRZMuWTF25F37X4BcLaR7tltLKbJYchpPS2mSVQ
I0HoY2j2rzONxcOo1+Q2NqgKeAddGYWdPY08vnPSC+9Ny3FPAiOmEuaUOUf+vOKlWtpDm63wpzI4
QoGQV2kPYXYIky5ne9tD1nLt8xK2Aj+T7uJ5Cico1FzsMaojBP8dC4TigIJaBG4NpBU4PutN55rx
Pt7Fer3EBKCv1EvZjn0dR90b/On5wKD1lxEZFeqqLuGV23IjvL8RcAHznWzBNwiiJl+p6kuVtV7Z
DUzdBYRnLG/Q2oGP5NFL2KgYNRA2ddW2U+mnwy3oTPPAmv3icwucdD65oX9qhmHCGcvhHtYscNC9
C757bhsfpO2x06cQlOp+DlKaazf15aaTW43YSTnJ1h3VFj76DWDfKQpyYxoLBsDUk5OmynTwdbLq
0vpg1aIBgluU5N1ko3qVQGU18R7FIEu4bvZ6im1ztRrRqzwG6PW6OO6XUq1T85mhPbN5C4n+sPf7
gu7a6cviL6yAMlxBVGY3xkHlXoLVL9o1dEGRCqClRGlTmC6bSA6gMjokWdQVYm3O2HaIWkBivYiQ
2DvidwpGwTRdtULIc5zM4iFK1D3MrT2Hkku+dJEWX5z2htpv0u6lmWhULVvUXXWNDl/xrUU1myG+
maDo1dlGXd0msv2S+aQ/K+qZPE2wcupgV3gvZHa0nTGFXHq0g+MOL58JfpJhDLV2j+Fna7jq4yrN
YVEo3n2n77X/c2ihI+QJ2ecnuqRTMfutvAvWcX9I2EAvUo/7JXVpf/GicK+icWk+TS7bX4F8v0MN
ow8MVKl6iiOshW3Q15Feus9UxK6Q0awOVtH0VTLPO3VtJs59yLDcgvX1ID2X2xCyOyg7S+XhbK9W
eJSXxc7xVROauGob6z0FXtvdj90SnvS80qsoY/Aas55dW07xb3Nmb1Taf5dc9U9tzL2ii5h3xCNa
KTN/pTxuD9OI/WKe6vfqkrWtP+Qj9PbKpcl+mqOwCok+S3Mbe13F52S6XcdO5UxudAGonDQVMTS9
DlUC3tx18fe4U/w1Daa4ICR62ZsIOG/rYflTiwUNaXWWL27pay8CSEOihJ+XQSWoYZE+RBBNy87r
Z6inWj2S2MKs2YAoWFjAcXtSYSoP3h5F+egrUbqI48FvFk2Ap09JdOqZdaeJep9otKR3FH8+Nxsh
91PWj9euU9+TOfArb9AhdsCjnh4nbW7IHB7TOfo5UX1mg2N38ZAl5bbboWQrMEkb4jqztIsLFe5r
DjnqemYSUm9TYKPWHHTDVwmBYG/hHfggcvzM3IJrYM9oMRM/n8bOP2TRBPs0na2+icKseUl16j9w
vnjXwbLKc8jYdr1t2/x9jjuw81a17dM64csQL4p/hJuXfaMdGPih6/oqaPHn/IaSUieTBjqJTd+h
ifvQ5qgL+5cgm9Mrbued5CBZpkpn6fQgwS6fWqD8P0Z4uybvQyIvrKW2noUMwR/6nf9MGuxJeiAX
tBQx1msL+UfkHD5KDQM6wlJpVPMUSR8MPuBnbCNXzupdhfGIfaZKJODqwMFfC8YXEWfbq07dyEo9
j4uGgdk2TdWbsE0Qpeizm6Ed7CEYyFqGaIaApDQkfgNNAT1PNuMbcPq0zmIQTfmwAvxcV55dZ6OS
+PJeAlo6c31YWUnUnI+KuNsN9ha2THqWt3Jv5+ve9g8wub5Gaf8JXAlMlnYPzpo17GiMezUuwAvt
uCr2dtBHAxulCkCUw33EcuMFaYrdrXbqXSLayoknIGpHaq6CUPuHtjHtIQ3h13CSgmrQvNlOYIcO
DQ/Lno/ZAasrAighnOgcyGx/IVsnX6bNXUzzHZmEB7oGT5raL75qT3Rnn+Nhfm2RcjtyRvi9sh49
zt6UFpHHwcRaOizlKDpeCs+fdS6cy26AQ+syjTN35CMxPqSoAPskGk/XWayXRzIPYFQERXQFUQpz
M0wdi/I5ieMv2zqBTsNXMHDJY3Y/Zttjs/HwKKJpetuc50SuVy88Qlpaf9i+WR4dcIR63wSpJinT
40R2hoQAlr3vxlAL8dVvchYlTd5MoazxJlNVLFrcU9avR+v57G0Si59r39AqEWwCdp2dQ8Dj98kA
wSVHDgag/9zJE7ip9cXTHRYdSm2o8g4ofZGAtP6+eRhokpsm6X7iz7z72NzJUu0kwcKa6DYqHJz5
87DSvsL+f75Nx6xrqwhSa6WDjF/ZqCVx3iUiPYx9m9Z95i0ouZEIC78LACPPGX0kW4qGIYVo+Ax4
QbyhYfcukChEjRhNhpfbZDVhhOVRA0akXwsAwtP3BaLjYQvfMfTOC4D0rOBpDXV3SKSYCmgLshKb
0eIUTpRce23YgIHb9HA9tqq51dh8VHE7TAXIQFGbhnZlhxjdhTP6PFrvHPBZfEXap6u9VrWPsNbF
o4tDUhi57PcdRzkFgJfcZ1ngfW7jMXswQxBcB6nX5Dgk+/ZeCj9zJtpHs3IV44eDf9F9HOSyJ9lz
6pblCdmDISvN0n1DYRlvgP5uz6u3d32JpIQ4+GqePoPFUTiHdji2MLOvxqVjN75j6t7qTZxFL8OT
ZGa56XwOy54E7FMnTXMrA0ABcoT2sia0u3Bs2D7xrAtdrk021tjzgBhRNiIV5Vt2VDa1y7vK0N1C
GbQvQwRlcCPgfkRm5yxPxDrfe3ObQk5xej9O2K9dknFJfqy+AlPm+qm7D/Go3iva7xNg6DUITnGK
/rgd0U0eBw1RNp+6dTyonk7Hdlr7T/PM9ZvqI88HMAfjIBfKeVmJzXn/bDAbogzo7lcRJ3rOUyTt
dE4Z965Ua9sbknhT5cdCHm2jQUOEvkQb2Oo7LJP9QYduDPGWKEBNO91fCPIwz6QjY0FHRF6UdA2a
w2m5GdLtPm1oioffDuYocQokl1ROP/GfUYLMxYit5bDTFJgqUfA6NkbjB9Kyrkw14KuoAeQAWp/N
z/7iQzD1POzv8L/Vt1E2W2XhVt76FpgKAPEVnZQm9kvcNv3bBCJTw6qNF1uIKVq7h7Btl3pUITa7
xO1GXUQ0ozKw/QEnCgldIhaFpoqH4MqXvd7ShB+HkHjhC2+a+acN+hGtNZTD6RxEPIkKNAbxesn2
Lgly1/jpXo77oNcSO2lCbr04WejF35NxrbY4fjUcSKZ0NHwYXZgdO9KpPedWLBQhKtULvO2xpBX6
zPV2UatCKXDObHkzdFl74NMmy0VYbG5TR5FEmvUeXEHea7wi6WIYVVT0DoimIqcNtOv1EGbzc2dj
kIXES/JVpejTCN1+OpmBlUDvvZ4dEfxr7Et7mOWIJXLHCstg19vwiqfcfQoAt/5soQNdey4m33Hq
6s006xzntJHLGUshygDuDSCc3XCqb2LK9ptZJFTm1LjxYGPrXUENY6jnlo9racOxKxWiVLcdyOIb
4cX9Z7SWaBfTVdGvfa8HqOso3J+UT7OhouF66ZeWimIFRADmcU3k26wyUY4yal5hKeG9smOHRq8T
j5Nt6FWjYzYA+Q+/IkRVgcBpi2iJYJ5Az6xhy5+HYbW42JDA8skR9tDt6fi0mW05hJ5kF9lS/3aI
BwLhQxsARMZO82Gf3HLauQoqSTpk6HggADn2iT32WL5e2MCaBRW+TXqciT+fteuHLwLbpWpdxXLE
q8ouihr/Ts49SXKsgGDotoA0pFi2BSzYtu0NoNa0xSq5WXfd+z4aA3TDX4NY0RPUVXYJ7PZj9u0P
PZNnDy1APvadfwr9dCupCKNDtKKEingyL1oydqaZzK76iHU/bMoRWnKi22+gbGFl4NhYv4OGqckV
4s2V1N1cuE2SH3MGfjeHt/ZzDuJ1/vb+EVMeJeuSPWxt1MZVElikSJ3t0NonYNj33Av3KJe+DYuo
wckJhC8Udy+x1hZ+oFu/dkROQwFcebndmvTOtkt8vaAGxzitpuyWbYaiM4TmYkHpnfQaLTnejjcP
R0nygMRRicZkqJNl38b3ErGVenefqYEOx+qMR2+ppustyLnwdcapnymW4Rz64nKCxyUqqEvhC1an
IiItMot9s8c3xN/WAnsZcE/jQEvlu+t24uqSJdoWzaLk933cILdxQ+pGotclGzDlUK1LUzQTSDZB
Dd4D4senGVtalkssVmsOKi5GLCfY6kQ7UgtvHkuuEzHnzATyZg7IhDCOTk8iDYCRodL5j5Lq5Buk
jD4rQQQCLiU9qHZ/fkAmuL3zA+iCYJhH9IAmvG4aUyw9nsM92QUrKBX7EXd8WQsXRDBd6YontkXu
yWavKwnTF2Q8k/Owa1kM1PmQZvlWxlh7zwZU2TW1Jikptiuv1k/6CxBuXmBzIKtgsytQJyVyDN1a
r7eVDgBiPbJXGUIA6IHQX92nO7pioIP2okG7fmPaYQEeG12EMWw0IOTTM0/i4Ykx4x4IYekL/HqB
lqhrOABAo8KKMg8Zr6T3wzKaFvpCSTdCgx2Dx2WfMvSzXVOgBZIn383zQYYhLfSq+2JWg52KaMKj
kkUb7+oVe8kay3QPJi711oIMcdOWWRsxbLd2+xllVC1of2PQlxniqC5vXLcgfITLUuyzkvwwd6l5
WHzqHUds7wWqKQUuZbagY4B/V3LfjXt/o4RozlTxpW6FHst1jZOrLZoUogH+dKDK9WVsZ/RA85iU
Ghnou24TdzMHu+xvTT7p4HMnki/ZmMV5LJKty7HjU1XSIhiK2FxSLPt4nZgmPiJD4D1IgZyUmkJ6
5vs6Xnfz8DS1WZD7o21/Kj/wH1MdRYgui+bUYQtSEWUfm2BFWrdJ1oeVr97RIAB9s2ElRUZ9qhAI
Mw8AvdgjqDlez4tODgGHygxBN7xep8jUcSKXg5kFQpMraj7V3sVjI6m3hp/sqNPaRHiM+nb5uaBb
+b47r0DydCvMDkpsixGHs3C+hk7ykxeIsVJ6Guq0naENNeki8ISHrHKIhD4txhwc/NhQTbjH8Loq
b5+/RTN3F7au4S01i45zDdRRAspcjhP0pzpqPHMQg0dULpeAVkF8qxD3yEEXS1voeDaHfk8lAhyw
lmXlqfFCNWgRSaqsn24ATJs3xIa/G0pYbcjmnwD04rfpmNwbTxdiTq4CtxyJRH8H0iu6aNXeQvsV
8A44MuX9vSCx97UFgYfShHY4WPkGOd/uFwhgz0MWQVbw0gLGQ4F4H8Q+gFSnUHcXNvUReolt/B4u
TVcMof7sHLvyfXQViOUJwXI/YDyHtx9gOSDxQcZogVzcndJgn2UuMsVlvkxwsrD1SC8x2QaEkdAg
J+Oe5gjbTxX1eQ+REu0EBh1tnyeaJRduh6gMRYKm3WwHhppbeilDLn7s4q9AjKPHBKFgU7E2aHW+
kiA5RHu/HMd9lxG0FtGeYwJyqw65H79p6xP2pcEP8HpqmaDvzfynMEoRq1lBL+fDbqsB760s0EtX
jtId0HMmIWXobr9vSNQ8KhmavDOZyGrEw07vUCKjKjirOOhgYNp13Y+IGXVfmrTBqpj2eKR054v+
iSAFDMsRMHv2hXUNCrEfh4jWq5Y0l6RDf1KwIfHXtyzrh/uMISiGmBAFZbgb+CMwaPurMbaucMO2
FYiLQxNNli43DOthAsz7vZ4Cx8wH3T30qx0ezRKh2qJuTHXYO2iaazMBJU26JH2T02i+7CKIvw/I
s+Q6ygzP1wz75hl9XRGIbTw4B3ydqt1fjn2M5X70cKvRDFp0i40EXUKJfoVQjGELwaphYS7pGeEw
aPgkzREwjVGtxpvEExv6X3Ub9sFp5vILYvugJJP1Nsb6jqEUtyFhl7lfyGPkr4DvIzax+xgbkms8
ce1bg6QGOmKVrzPzrtLd/67jzZRsD+RxtAr54GZXCEpkteXZZ8vsQ6y216iZtyXHi4s33oXqtCHj
xSgDcIyQ700GXrJINB50jrhEweLgHbLxzQPW7gkr5ACVrB8lr9AGoFNdSLSxfHSW/3CgNwsdhXOB
bc9pAk6IoHaDnimyHiiTBK6UzOb1MRPT8swMUOutCyFSj7G66QEweONwPYekqfwt9UufthApZtE0
r+gXuFeBSlNlOoTuZEW4fO78fuaFTvbt4haA64WNhx4b3w62sFqw6HLDUPLagkIv2HuWHXfPN6WH
VidA/eEIGYxT/KgQWMFGC/pp52Hig4j7txmjH+rdouJCW92uOxHrMmg297qn6Np4ASsLykaCh+U2
0fx1Xf3wnjm/YYd5CffPSO4NR4Pd8XWULcnrrpwP8Qu2HrZEDshsv2fe9TYiH56nKS4DeDDS13xm
zW0IaegbelN0Ia5vbjrLJggVuH64kqRN/aqJ/fEZLVxXzlrXwx4UK/e9S5QR+AWzHZ454g/ayPWA
aPXLMnOFK8ieYSDX0qfpcYSXVBmn58Lbd92WsY6hcfcEODYsRdSV7nkR6QhiRKIzsXjQkPv39M/J
dTdSpch6dHudBrqc1lFUybBiyYaQXzjaQYFvZYWZAJgQAtLG5FEg2SHbOaIBAjRMUkZx9zUwQSwB
Ncr1yNF/vnpTBm01idQp7gP1fUKeGBxUgAdk7XTT5Vxl9nGM/WArlL8Mx6EZ3pNSLr1KW8qfgy2Z
dW0g1iHTHDGH75Wq3E4Ju28RE1hSg52Fld0Zzgksh4CPx01nIy+1Z4TKI766B7d10xHg2YrRGC0N
jhjXMY7gLQzsBGDXrz2q4jckofxiAlzzmIC/hk68ye4SuwglLE7t3TLANrNBg0ZOBOSCmJJEy6RE
dNKBjaYiidfhZsU+5mz3hi2w0CRS7S3SRTNCnwIvOxjnqFwXXPKCBOZlmF2L/sPRqkusrlfq99jW
BackRRIhX9u4jmfsoHI0pcE1OjiRtxquoi2VcveT/D5jyMgPMWyk0KkhV8P7jnd1QfcAXk/chJlF
goWP/R0GrSRHvErhXQY56CVqg7SiGZIR1LoJ/R6mLwRuDop4EFsR9T3q1hQMV+CcImzLLPbOjVov
qLiYDYC93MGgStdJOMD3F/rdGVON/2mE3HBu4AKVcsjacurC5MG4rLse3sdS+FmaNjlUPSweQ7+F
pYlikrcrRsdg9M1aQkMKS69F3E8CMX/VXRs/YlYF7Bjp41FiIcbYRE48xEC1cgEfCph5OJc9iiwE
Kgy/8JQ3QE0Z9q6kQ8wfOy6H2szJ8kk1qHXCC2HorxPItnz3epwxJ6a1xTj5cJZYuswV5uV8w9ig
4C22tLvdg1mVsBMJZopQjEHpw7igaWYL5FoSXKlRFP0U7peWUCw5TFjcnVUo+oWs5A1Bwx/MpuE1
EtJ3eKCg1kNNKvi49Hct8bkpTY9AUblGLd9uMgfrGrH5dTa1QPFsi1bP9ojHWmH7GEIyXTltT37f
sedUefP+vhBZr8TkBKRPCK4skAGXXU3Wb45xyvW3gGGoCDT3Jg2XW0X4fpo8TLEZBmJ1saw98Jl2
6Zp7zDaRj3i6uk/DJP3XNQjHMklnVjESs0MjGnebTAKhztSgv0SkDLbz6HuvoC6X58EFEKYoV5DD
nU9PrQ4UZg4k7EfGHC1l4w1Vlrj9UWFazNXEJ37AajFWSarn87R5Ev2oZwPYL/6/umTEA8JJXUiP
7itg43iOd+Zj/km2IATdwTFxI90Pc2TdDYSW5eTagXwZGEtewhkbbWTf+BGjKhBYS9K23rq+O/hL
Uo2YpfKdYD7CqVuDxkfSaE3GovW7q8at2x2eyBFb6ki/icT238JshJbeMveYIje3ImlkIOrssI9B
MJRQjZGe7vHPASrJ084ahBpgbmBohmeX+dHf+HwTIbYa33h0sudl95GRiclqqhi91lF1LRx0N3h3
e9hSdJIJ94+Z346VTBYwKj5mXaRZnz41NgxuWimwEfFTiDZjsOJ9xqsn2QwTk7rxudUcCAkBQuVm
cU0EeU4n8iME2vnEJVEPwkTNgQhEbbCrFbaIuu7FI9re7oalT+E22AeC7HjZ9/crpNZDEPXmdRDJ
fBf74fZKmnapeoAol1Bg/IhJG/OKsvKaDGN4vZP3/cHKh5twwHymaZy9emQtv2ML8l9NbIfv1jbI
Rq6BV2huO7QqHqoDAKsjesMOySIZLG0B/CM+jemsauSp3RtnSu/5siM5yEOC/dgsMW8H4zj2S9/F
rJyiBLosImjlnKQOuUATFCp6RyMmQ1GamDxxmUD3STDPJkzNWa6NKNrE91/jbBSotfhWPFcd9+8h
tnYXi0lSB2i2PY6abgchveGERG54J1M1VzxDIJm0E70YxKHyfvq5Qq/BvCpwoI3ZamyjM53vYaRy
BF+9opn76agSqMYJZW+0bb+DUvpBobYWDC521/iHLQWipuakr6USP4ZkEHmWkHrq9JhzjHGSwx6V
LbdXTLOrNRUvm0HZ2VxabiOMIeLvHnzjtsIrWxg/Km2X+qfRysd99o8ghorUsy2ikdNYxCuSkjFc
oSVfNxhZ1EDu4bOXs4AcnafOYxgdTb9fRQrq944MzQOkrug4060/RAsDjywdRprD3e8/p5idcSAp
669p2g2PAfyvp3hCxyhcBymcC7/+X0542DfCukcUdGFfSNtG12iBvYOjbKiRSpqf/wXn/b9OjPz/
lwX59seR8H+afuf/4+y8P00m/Ne0vPff/y0BkqX/O3qPbGAAS5Rg3uT72LvfZuX9lgDxMzCZGQaD
Ihzy7wRImGLwBjoSZJQSbPnjDMjo/NusPIzeS8AMgLwOAD8m0MF+PQFCfpuUh9DBB6hxbjCBCxpO
cmz9MotvZ/t/RQn/ftx31PUPKPKvJkreD/M7yvr74T9gn/2/cxJIxWn9sCaY+fP0P0g8/Jm9/P34
H4IOSID8d24kC+LZ3UufZ+hfwz72cw92K6YNhWr574DVt7+Lx/zdyXzgcX+PxWxYJsOc/isSI/aE
fv5nVvbPAOvvJ/MhdvMhteH7a8QfVw8V4mqny7TVBFqLRnX7zxmLv7479B20/sPN/52Qt2OWbmfR
Gsir0QynrvrnM/ozsf3vM3ofLvnHD/g9u7EOc7qekz1sgkIOc9BexUPbB9e+GeA9qVlBU869MfLV
wZtaq4///Pl/83gkHz6fZwir9lilaz7OqnmAz6fMS6hc5p3RIWbpPVKvYXL65w/7EJX8/Ww/YOHy
3+kKwxjoi/8TqpADdPMh/y07YfaUXIkVYZnKYModxVLEaMAxG/h/zvz//g3er8MfbuhfBAtSrF7/
4WL+zeNPP5SgXwwS/N3R33/+x6/+FwGCCfqaKX7tynwoRJhZ+SvI/t99+Q9l6PdEwiKIc5W3oT0o
EXEX6S9+/Q+lJ/h3FGATEZr0PUm2KFcK7235S9cn+VB7Rh0m/r71KahCJAXYgmkKQI4o+/5Lh6cf
Dh/0yMWKGUMiJrGngNvxdxAsL5jRSX7+0vHTD5VsBiTorVtMQQL7HFn2iIDQ6IZZ/4fr//6M/8U6
ln4oJBli8KMJ9qYGEuv4Aft8aatx3X34uZgOmP3ix3yoIGEkGrpKktYAUwKo/YmYPPh3/rghqrGs
26+9yemHMqFgpDfhxmktg8E9DVAvb6c0yZ7++V783bX6UCfWYaM+6OwMYPHWVeOs0/CKRbtQn4aY
Ioj4z5/yN6/cxwRmS5kcaCpprcdoPyED5N1mzMfu/9cOH/65HImm2z1cnKTGmJpgy71+i94SzPyq
fu3wHwqGsanAwOYkqe2IO7CMjFeRIan8xW//oVyYLpx2mHW0jqBy4h7sFHDHDPrH/eIHfHifB2he
KoNJU2c+V9NJ+gC9Kt2nbr37pQv0vgn/43IAsyfEZKENOOncdi8YxDvfbR0DM/Jrh//woqW7xuw8
5HkgFkVLd1xcuGV5O7y7hb/2AR9esa3bFbRGWIXDzDACbOaBpXlvIv2fVuP3yvMXFeljhhBJYuZx
GOY1NGqwgz0LoV5x4mxyZkvDh2pjwT69jhjF+tlMbJ1+cZfz/vca/fHOjBtrUgB8KIUjHeW5JTPm
PuQOUmVXUUhisKQxhNpZTIVN4CoPm2NpmQDOEI/WWxLzixf4wwu6NwmGAg+kqXlKTBl2KxrzFFzW
P98+//1N+avLG/z5LGO7bB3gs6wOPafBUPiNXeAPOcwElhjWuN9i+Jf4KUm0YgKqo1N881+cnVuT
nii89T+RVQqIeutzsM/pTjrTSW6sSSYjHvCAoOKn3+tJvVVvmp2e3sVtaobHRv6AsNZvbZSSHiK9
NG2+pC2J43ce5Y2Jjju1nPZNDH50zYoxKWd64Hv2c9w2UFz/+y99o/nYKTQTKZ42DTw0FyH41xjL
z8McwlTh1/pl9P62q5soLnyDIMmKuMOXDE5aUgmKe63s/M4weKMMLokpv//ADKFMTDb4xLRdS3Kd
MqXC7xuOusHlJQLk7742I0RVMBpVP0Z5OZz3+8ucAqdr3+EtK17wtJQ4bJ/ILHNrWOA5xcbOMvr/
HZNmiqPT/9Us+dZrd6qYl1nYN9O2F7PBVebeQyDJ1di8M0m81bpTnDwCMWDDd1bRkBqqQY3rmBJX
PZ6DyqlNfIgMaVQPsNjhuzHHXcdLX7H3dnpvPbpTbhEfe/Ciq72oEqvvje3hlugmETWe48ZZOUVj
9Eih3yqCUmbX0LS1x5KmrPAalb9gCr/VGwUSaNQtWtclIE8rTS7+0Og9M+8bfcOcak57AgZOgtca
aMjToVhbckjNmN9E57qqG5yph2uJMIgpqrvznPWXS2q2n/+7Zy5l84cJnTn12pex2HekSBRrEP+E
eRuGBRjux77Qa8I9/wKnZCmupvqmLdeCQsH+MQMF8BSxoX3Hav9W71/+/bd3CwcwZevO12JgMb9O
s9gcIYf2nG6YU7KRll2Z7o0pQDxnt3Unk3sg2Dwf3alYrKTwyEVUF3CLlBEkSgQqOLHBGfXfL/et
rnGKNi6ruYWqGTLXvt5ucGiu70xZdp5F5ZQsiDvBEplGn5Wp1vkTXcO0+wBLAYRPXo9PnTUY3PwF
1HjwV+Dl3Q/tGH+1kM68M/Df6BuXnxI3Aazbabmcpk5EOb1AdacsM56P7qy/dGwYKZt0Qc8HXxU8
z5BGbqXfa6VOzbYwKgbBzP/fozNwR6CygOPJr9fdao3TEjCbaDllKw6NyaX12b9jLq/jt2ptwwXO
J8iVT1uTAWUEyknOgTL0fHanWgWL0wEuarTOyM8JzP9zVVeeh00XpNarR0cyclpXaDzbDQjLgN7h
04hvfnuDX9zv3zpm0xQ8a4v4g1iXcDxEIDNGY6n9ltdfBJzfWpdiRGoCDB+nHooMKD/qnwZ36n69
Tpw6nYEKHgeBO2jZCiBbWfw1WGbi2bizuCKLREHQBMIdlAk9REE1DM+QrHiN9V+okd+6ZZqzDS4a
Y3ARjfQJ3kBlbBRJPFt36hTmOVAtwCw6AU0Y3QNkSh8Bduz8rqhc3MtmGJwYaLmAqgialb0HUOcY
XODkfmPmF03rt84hoOdKgP4WZC3IXsHuM8bFuBL9w6/vnVqNamCIh01iZQXa8SZr5ug4t3D3+LVO
XherUeVIYSc2hc7ot6ghT3D6Pvk17ayq22wbaW2gi1oED5gev1oCsZtf286amtW1TKI+0UWzCoAW
Rfw8AKXm90Ijp077FrEsWWpMEdS43u8ayN/IFPo9+S+U3e+jJaTrCMkezJPd9k9toxcSy3cwlG8s
1ZGzmKb1CrlQE9gCzc7INyAzBNh2ppXf1Bs5dQp2ArR/8K0XiFcMvzCNeSCfQYfz22lEzoJqpo6E
XTmYQg5qPw5b8l3UIGN4DRiX5gUT5ZQstYI43wLcKuWIR2/fu3l9q+OdEs1gOa9HZIYVSMbL7tO5
iu67oBxf/B7dKVGiiVYanLoCWBSRU7l+SZAY5de2U6M7A1m5BOG6UDFkr1G6fe2m1O8M9tc9528j
na1sAwYGbUNJ9syMvQeQ4x2Q4hsdHjoVCooEdJ20Ag+hDAL4Icq7eofT1qtPQmclhUoQqVQBCU48
vOQ5JF9TkHr9ppbQKVE4lhbM5uiTTvRPQ4VsNik8H9upTgY0Pt1w6I0gKvCfV3LLYr8VNHQKc7Sx
5sOIbzsuq7t02Ipele/Ayt56kZd//22M1J3ehDF46FF+3iGTbZK//F6iU5JdBuTN3uIlIjfiu9qy
p3TnfvNU6NSjAb1ysyukbRbRZ8+71aQAy2A++j24U5G0L7e+qTNdwG8KFGTfXmVl9sWvbWfVbLt6
BugwDE5gX13y64DiygCE92kcvrbXrxIDe5q6EEuyqPkG5AsLjlkGsa1f605RpvOSwIe6BKeJf1LD
McX9sl/DTkUCnj8xoLh0AXYBjCcUJqFo4s9+jTs1CUhQZW1fzgjGGK/WDtftE22010gB2fp1hytj
wjbo0HgKOhc144+aWeXZK05dZiy2IHqBF64kfYzR9mYW37ad0oygzKcU0SjFTmh4Z4CFuAH0g3v2
ilOdArrkDvtZDJQYWlFknH3uuPDaYLHMqc0tM2wFE0YXgKvoBh6Ikg9Hgh1Q7TW1gHf4+pWOq2Ql
VBS6qBjySNflBZcPn72GoivWgl8gRFwc+sWYCpQBAxsSmLmJ1z4CB0KvH1yJJcF59IYH37ZHM4Q3
24JARr8ndyoUiQshSwSdi7Sl9x0Q1jBDJcSvx11ytKkUNJdm0UU4dk9Afh0aJbw2KcwVPKlLqlVF
5VwQEv+yDqlDxJp//TrFKVCLG4U5lXqGAoB/rebtpk7iT35NO/W5KV22KQkUtMjdmndDMsHy3vhJ
F1jq1OcQr30GtocqcIUEBxHiZxKKXDO/R3cK1IwEUXLRqooB+hSQiIwKbgFdsR/9mnfKE45wzIrM
4I0u9p8ZO7htTr97Ne0qkDQWHjHC6V6A7v9xGwHNltJvHLriI2AdWt50TBU7aFKnZa3IMej6H37P
7RRnvcPfqLZ2LhB7dWiZfZDpe9vOyzr2v69cgNV/PaesAc6DlzFRBXT4sQGVlDf3IEtt+doQYw9+
z+8sonELRicSQBUYo/RbJ9hLMLbPfk07JbqBYtzxpFSo/wVY6xmArmhhfld1LHGqtCIirhUleHAW
vcgFwA3Y4/7ye3KnRsU2jYiKEXMBLzFbYTU3QFT0aSdav0U6ceqUiQqJe2mHIbmBCyDJcz35fYsz
N+MAfuwJH8xourTZkw7rDyXlXtdQ8Li8HpBwPZVyWqwqaClJEaREP0XVWnuJb0G/f906gmnDGJg1
PHi429yqqYAh3E/RxbhTpnIrA3jWhUIy2QgO0JLAEoRUN6/h4mLhtWLGIBcL/WLD28WS2y7e/GrI
lSlla9XBfVepIilh9kpgQMpgSfR8bqdAM4yScCOtKqJheaTRdKdC7fncTnWqGrcTfEU+IQJ2X+pI
PXXt5PURxy5hIb9/Mpcbk201Nqrg6Jk8gy48n6xM/eZDVy6kKbI0G1AScG8jpoMi7RNQ2H5bUFck
DDyrsH0cTggQpUAsrDioOJkw4H4d40qRmiaDbKyxqBv4oAEo5PxjV4e73xuNnfJcmpiXEMNNxZ4p
cohm9oCV1O/2nLkyJBP0IIFuA4bLkDHwgeBbbWfY5LKl9TrDwQ3/61ED/SwwO1uPvq/Emhx6HJ4V
Zckmv3sEBJu8bt+2YP8BfTgWKWCD02FZR/mvyZLV86Mxdmo1kiRkaxaMhRJ2PkoQehEtKOKz1wwW
O+WaJNuWhksIg3OH/LkQNvcDxdev3zxzyVv+vWJ1B238DAJdMTMw9JH/Tdq/kVcHWpjf0zur6VYr
rtYNfQO0CrAYWn7eushvzYudLS8oYCu4lgb93iPWws7hfAaMQFx5PbmrNwJRldoR6LmiKeP9JRwA
5GRJCkOyX/NOzSIuZIyRdzwWCHGY5nNiEAeRIwsNRnG/H3CWVVzGtUM/Luh5Oq/X6oKJnDq/s3nm
So6SFpB0rhUQmkx/qqv5aW31J7/ndqoVBOqVdl01FUmffUPYRYSgR/ae+PVSkn/Yt1+Crn4f7hOO
zFOYhseCqib9luBS4cq0cvEcMk6pAqK12R35oAUqFY5XSF8ADgmSk1/HOKWqYKjWY4fW48UacMPH
GwTivlNKv7agf+oYp06REAh5XUqGYuEg3oGH0TeYbJIaCKIK6PD2So52/WTk3F3DSR/wQgtg4p9h
cUumR5z/zeoTcqb5VYt7yeGqaWHDzpMO5I6HaptSRM/srJnUZ/AhEDQU2qkHRE+IYAIQY0FIURTj
rB1EXQNoTYfIOXvguKXers0UpE1BEgDqrkvk+Vjw4XGa8CWAsteeI9rMyZEmG9oE8RnB5BWQ5zPc
dsjJOktCtv04L5L237aEsfJRMx4gWTmKQbtOQSZYCrXh7z2Oeo9PTYgo9UOfkKg9cAsey1UVDVV2
x9MeVq1LVO0n5GKvgHtwdT3Ws9qLcMhAG1hlB1D9oliFJPBkBRsU2YULO1Rg4yAjcckyC5JSTZNc
DrWKbuF+brJroDA06P7o7fUQ03a53vdAPqh+CdmRhQicBM1OlfunLmqG5IvXCHLVL1Nfa+jbswEg
awPyOWnuxF75uVaQUfK6tEL8aTFoMcjmRWbAhQC8NsU2heACeD08c2Z7uTHDWwM8OwffA7Qb5PFW
NPObLF2ZGmWlxS64G0Fnlz9L1n4CzN2z052JfsE10tYRPHdsymLOuhuge/xONqkzxccLZDUAgo0F
yRDkWwYIBsu6aPDsE2dbphABzFvcOBYVAUwRAeb/8kb57VipM8k3CygpfRICIWwNwqrXrb4Cykn6
zcPUmeUFr0PTEz4XFfBydwybb/gKjP7qNRDdvB8FlMyyjMtQtGkFICe4gLiJ6MEr9WveGedRX0d7
QPFSeSXj7UTm3iD6OIjb6ej1A67USyNDowyEHgpcVP0LYDrob7Of5YIRZ7CPZlXLZJOhECEAjbme
k6070Kwh//o9uzPil3ja6QLeJnC/2Z7myTABjIrTDqCl/H7AGfQrkG9RuFXYICD2MjfJCkR3jUg8
v9adYT8mawnGHJZw3NEA72YifhiDNSz8WneGPRDYFmT+foATFWQcThcQjPgEZrffDEyc7Q3IJRWE
TANmst4kNwLYjm/4prV+R8GEvF4/kk1O4GRiv4qjrO26ZKUpklAnnoPeWZ0ALTJgoWKCb2pZHeZ1
qnKjkQvu1/NuzaoImGF8JxeB7elPAbX5z10a6af8RMzY664BeK9vRNMiX5MnS3DdZn10CEvwSd+5
O3zD3s9c4Rf8oGXJu7Qv9i6i6nls6wVJZklPxuOK+KtnOMIegiDrmiN2cS0YjBk+Rs+A1INH7dWD
rj4MRloemgb7z9VOIgWzr0EmqxQ9soH8fsApbB7SHd8sl5mp1FF5K+sKjnA7WQAC/X7Aqe09NAqW
VAKMJI3qNt/WZmUIB2dgxPn9gFPeHCkQqif4AWsIZMu7eYF6/4df205pd1panZm9L0bVz4etov/u
OvZ9cKeyK3AP57lNZIG97bkj7Q0h8zvfLZe//Q+fLb88jr9pdGSAfNcVBJFCs2U+tAHDVQNIfn6d
4lS1Fp2qLgn2RWlUejKCVLlEcozfeHF1YmsCblKPN4oQvC34LpuV/lABlhuvZ3eFYnPDesDWgbTF
duUhWfbbbqreYbm80eeuTqzacM/I1dAX80bETdSp9IK3Xf0WsdCp07XlNSIFqCyQZQdkbpOm041I
DDL1/DrGKVOWbQNFYp8sEODRHKYsvWpZZP1K1I1yV2NfAfdW90XGxHo3K8kOiW6Wp/9+9Msj/mGw
h06RZivQu2uE9b3b2YRdczhX2akLI2RMASA+9P/+98/8+f1SV7sDIEeJEADVFbtKvuND/V4m4sWv
aWcKA/4VV4OwY8EhOCBYZJrN8nOlk99NElh3r9fJGnvlXpQ9grbGtMTpzpxeg1JuvEqKAnb16uxo
II3ZdoWHLyuBb/yIAOzZbn7TAZjKr1sHBDGx8YzDjmjVkQUaE5e/oEf2zeL1sQgGwOsfSBfg/7GN
6IpIcHsEnT18HGCe8porcQD9unXLa3yRI6PiWEUVAlaaMAofCBlj4/X0CKl/3X5qeZlyWg1FaKge
c4wiBHC1QYjACJ+hieyU1z8gg3qelqzGhBkTQKHDj1VUeg0cFjo9DySJTkOFZ8eRb3ysFe6XdoPs
BZ8Hp662sccMGbSQqp6iRJUfFxuMn3oR+1nsgHp73S1d3UcmJDPQozhkfxoljQtdx6lXp9PM+Zwb
ceQVInIRBSsuMTxT+hQg1cKzY5yVxFjEMyPwu4NsBVyxAxyx01fEtAFh/t8d/+uw4n/Px8iOfN03
nFFQh7nBbMYBH/+AxO3eXNXtMqkzPsQMOYOlx+fjFHfbcBdYfBXcjUkzya8EOHwAcsl+nbDAxsAY
lwb4Axu07QfZxxs5yGmy9WGvRLl/H0pbm3M/Ys09mLjZfiDAkd0uY6NvbC2WMy0NQnZ2QCoQCCZr
tj+LCP6Wp/YCknju63RE+oBJEBIbSrUeRAjl50MDNPl+xH891/eUlMPy47875Y3FI3XeKHSNE7kY
kk9VGTUPC4Ka7khNKr8FlrqSOMSuxgNOR9uCbOFPTqanLKoe/Z7c2RjgW9PKgK9tQXfobDvCrskw
v0e6uIy5Pw0VZ+EzJpDVPm9tMY2AaSAHcUdmTmahegDfd8mqa55xYNz9/hJnGYwmBPswQNCLYAz4
ibUIj9rHrvrs17ozEwtbGnwj0rZYBiaOQbm/6Ia810+Xzv5TPzmzcBRWtWmVQSJMZ+pPUFWzD6mo
tr+3JgreOYN56yec2RixtklFxqk9zRtt+VHoSU11vigctoP+C0fbOx/Vb7xyVzUHeUJlFt6Bk1zr
tj2beIugDgu6Uy33FJEBi+e1E3VFdJXA2UmpOnRaTwII3fgLJiLPPVXiFHQA4AgOAhDyEeE6TtP1
rGn08b9H0htvwhXRJRRazh0e3EuuVqKvs26Oz0Oa4d6fV0sXeqkLaHL59d8+EWO0zes6CYDpmJMv
8LpXX7Ip8bO2UpfVNdtsqmurmiJJYn2G5jpF+HTk97FCXSHdUuMokppIFDVL2XlcrAT7vfb6jqOJ
U8ghH6OuS7ryGC31TVjSnA3cs8+dMrY07OZBo+l9Z6cym86yJsV/D5o3FhhXQ2dBKqvnrC2PbU1u
kzi4nbjfKR51NXSQFV5AuHV5HJt1umnmWRdBTD95PbcroSuRhLFYGmCwR9V8GkfFcuRos7Nf606V
hlmryjgM6iKp5/EWqteXqbJ+cFjqaugqnlTBQoDQ7izpzibTSEmYOj8pKnVldIHdcG8oVV3UTYPw
UpHeBYmaT3794qy7WxMiQpgO2VFLVm9nQtbPo2pbv0NFyp2VVgyZnjrWZ0dkWT8A9180avBbxF0p
nRXbVskKG6lOmzrvTR+CbR+/M/O+UUSukm6BOn+Hww9FNC9Ih8rUYeQgCvv1ubPA7oD0zIsea7iW
pD30AMuDfa76zE+QBiD16wk9kxaeixYxlykbEEuWIpbsFqHetZ8PkrpqOsP7sk8mmh2RCYJrzyeo
AN7pmV+O3j9sb1wtHeN7BDhVJYrIBnS5DWsZw2BUAbb5DFLSUNSIyaV5Mi0SaXw4XVsPCL6KFyAs
R27Pk8nC6bSPUUX+lklMlqJMaZ14ncBT5qyTXabpTtN4PtXJps4xkvIO+LD0u1ejrvCGIjZi71ok
aNBVCqgs9DMslds7/frGcHYBP2adgMlJ7HyySbTnLbKzD8hrevYazoy8Hm5xa3hAp2U+7RKIhlXb
f0Ml/PxDSMp93XiwI2u17CjCuaCYP2arEIeQwL7l9+huJUL6XNYLJtNkJN+RU/dJCuJnqaSuYkJI
fLEPIzOnOlTIPx9JeSpLSGe8ntyVhG7BFAECoy/HSUpX1zUNkRQv5nbuj34/4Iz2vq41TyOBzAQl
OFZL25j+IGIe0R9+P3AZq79tO5Vuzb6UozmZAWlIMmXrccyY17UHdTWh+H6I6UilOUUXCN0aT8AG
sMRL7E9dSeiYLGwuNRpfDNje3YzoiqEjfoJTGjsjngkDNINBHB1pIsRuthHy7Pruu1+nOwN+aFPE
ltJSnxYiEE0cIL5o2ljot8lyFaEVhM8hC6g+DZB55UOrqocO4Tl/eT27S6BDdP1II47wrSDDFRxr
9+pU29ivY1wAXa3WaIAqQJ9ANCWPvdza7zzcE789uasG3WOxTtpgikS2W3cA2Rx4Ila+h+C5lOQf
Fk2X8tVF7UTaAbk2vES036MwspaIbyEd8sLUiFXQq/9dMRXSdEoWNZjQYpIGx4XE1aHfjJ+Yirq8
r1EgHVNztF5VPdKnoKRC5qD9x+/RncmsbfAGoGdUp3Eb7aGWU3OcZek317hiqmxkoZZxrE5I9l7O
EsFoOQjDu99k44qprMTnxq6QjqgFYqWjuf28R03s+UqdpXsXEnFgOOs5jSnSl2W3IUisVn6yf9zq
v57h+8QmOkFe9ilA0vqh2cce8bbWj9wEB/Tr1kvGOhU1fDzVehKHPZbIYAda3m/5czVgJrI4clZV
em6afn/ew3H7q0ECn9/q7arASookRAOx8ilWEfwolzl+JNF7Z4SXFfQP84EL/ELCDY6rbZadGRKZ
syX4MXT9s1chkctZ3m+LdovQ3RKRFskZnK+yy5cdAj8ttvmLX/NOnUbdQIc9VNk5HmUPDWuzcXHH
o65P/WrVxX2Nc2qwcRqRgzxHeZORmy70XPxc8RdAXJNGmmh2lgxb4YseovcTJFJX+YUAhboUyZSd
9wv6qF0jdmAiXXO/TnfKtAk7oXc7sCMoXFe9Gh9D7kcTpMSp0TCGqIhKyY4c8oemD+5YXz95PfX/
knwBIyQU7dmRcCOjgo0dfNdileazX/vO3RWS/KamM4htZUO0gXHOZnZzseq9xxO8HDz9oUhdPVcd
tCNL15KfkTM3X+lyWeTDnIRVdYJPNSmvK7mv4l7v5f/h4/rX18GfftQp38SSsl+aqcOXwrb22yHq
6o6Mp7ZF1XVnUW5tl0+DXLGE9XTC2r41VvWIbO9GLuQZH9ZNKxFh2y72WpQ2KP+mdIXsrg8haW1z
2th9XXN88IzTHVKI0/F+mcs14tdbwJIJAcF7VwV1HtKsRpC60smIj6KB49XlcTYN1d+jEtJEOWuT
Wl7TvQXu+WjxQZ9URzstqzq0ljbbJyDk1qXO41bCw5P3tt7mPo8yE3CGaGiw29uraGyRYJhLnFlq
mcNX0Bk84JwM/eeRSOwdm6RJ/5WjxD8rM7HlyCH3pblBD7WHZVlJXezWbEhdakM6938POLRNTL4p
5FWveYyIRvG1r1mb/ZCVsRLBtXYflMxB+2ossmxFejXu0m55D2jUfFjXeo7aYwLjZHnacWVDTgGi
cudDmWKkZYeFrzaWR7LscXgbpQtHaHRs9kvk9oSge2D8+0PCx4XfN6Gp02NY05UeRMIn7MJSmR5T
CQBuvk0Vn3roN5tBVEed4RMLkZXxslUDnmzqVZKnhCfwjSx1UbIE20bMJVyaG7ytQSDDOsXOLs+i
ANGviEwn3yYt+XG1+5b8MPVu6XlUAzLVd0VS/peYSJI8IM+b0ru9FKmpjt0Ojwo7Z6uJQETYeWK6
ezg0Uryvsa5HPFwV7lllziGoxtiNyXDY2yvL6bZ+n1JZI2waOaCIRU7gQMqekXAMGCEiRlmfnCpk
ReOMoTNdvwZwsewQbYGgk5jFnCze5TBckxgHaUh/bfsUmaq8zc68Ff0BafOrVPiAtcG8XHaWy3wb
mrk9rQpz1AMfKtM8bxup+hTDYSCIUafxvB2GSiCYHecOtjvijEOkX1NN++E223YcAok4NBsiw0eN
w/w8S+OEYAelNUXQJqJVafMUtSky5gFYabfbnqwRTrVDDbbajmtmvVTwbiH0nSNIVXBA1sLOfCdd
AM+MWhI2fkpiGaVHUc5x8x3nIOklVlOyAbnBTTzMD61BjOoz5FmTvKS+wyaUDeEQ3+xxgOTZSKzt
/k/ddwixPDIVDOxhQtGKUz8KS65HGTXTiwhkGhJMb23F4zyRLBsfQo000e+sKcsUEd1VJqtiXZcl
vgkVwtC/NCu38QHM+xBu9GqlUQa0c8y7H6Veq7ZCkG2bfo8pn8YXuMt3ccDtEtYuWCUGew9V35zi
fx4C9mNo1LJfSzJa+9zuYRQdRoFK+tEwDPOrqiX7g87C6hySKW0+pMok/BSm9Sg+Tq3Y9scVHgmC
aEsCbkB6vJCI+fW86r7/t8XNjbht+ERtMQxNVxYTySJ1a6YsIYeGUUa+ppyw7J9obcsHWMiDG1wj
7T/gDpHI5ERMZgVAUHDc6j1dbxDysOxXgAfRL11Ws+w4dnA6PiVWdP1DVJV1dL0OtbGnYBLNdpVZ
FfIi4VsbvoS8bMuPArnc42G0OgATsQmzGT4UyRHkt+xzrO7ncNfhNR352H1GskY5fDBxlohzKNoh
OeqtWTB3rnGqxBn66UjdI+qZ/+jABOgPJU5p1g9iC5FUXYphW088HrSqjiFuq5bbtgHg+FwiPBsO
lSBZqmeRzhlDxOc48lyXgeLfhcia8VD1c6ubPO2jMkQ4EKPb9dzJWR818keDo557EuV9t6/jV6oz
PMExDqsIOMMNT1EH1azyZgvm/tRfkDw5gHZ7+zCtMKad4lGt30hoV47Es6oHlxNREPwe26XqZ4kS
Tg5NJ4g8cLnGw4udkM8IwJGUQJ7ltN33+nrVcMk+W+TTISFeTDrZMN/v44ok+UZjmV5znHgv84/V
LDT+CxkZCgsCMrez7GOHVi4vctRGnRDiiJvOU78SGefwfvZx0WVR1iJauKKdzatIp/vtuiEetMs3
RD9lV2FpsUeEk02I63mwQ5Dvqq6DTzxuFTkKxk1wnMMlyo6J3ffmLxXutLla9L5mhZFDUB4R4Fra
O4rkuccwQtz0J5wiE9vmddfp7AxqfKVvLoHn8sHiFCI9s7bGeqfLMp6g82Ziu5NV2LSHYVeRPrBR
JQF8C2ou6xXuuX2OPuqwlTBj9Ezrx3oLE3I14Mq4eRhAuquR8m0ZEm7AFc+nVWXRdUSzWX+I5yno
/yb1lnZ3vKMzxlgvZCf+oV26YyRIINvm01Cl9XLGX7Y1p1i2bP7M20WUN3NVN/QaJlre3RtFEIp1
wnTUIbvcBLT8uQOVDKb5LJr4ah7qqoK2GSYmjJEUHKUb0Wg7Xo2NpNAME2iIw9M8IvUwX7TtySf8
ZvrXEgm9fesAjYcnPSNiYIcJ+MXqEGB+Kg9bOW6fGsI1vUqzEV6XuO8hVpWLSoODHY1mWKuHdYOB
ZEmiAy4UUvGIx43jD9tqq/oq6Alib/O6bAPzLOU+9DeQ7oodu6J+335g1Zj7FozUMIyeLjc1NDxQ
MSX7/R5mTM6YiXdbXqcNXj1AsxyJYHcrJuTpA9IvZnUdapHpq03zLL6s3JsAE6BCN85zrjNUeQhe
XbUjBneqV2ufaLZ1WY6ksZSfEyYxv+UtXRv1IdRROv2NIPqRNXmnly2+tkjY3h4YRr/40swbMmLw
R9Kh/NDiaHz9mLboxJudNGo79tTE+grrfzBW6Fwil9O6J8laYfOkhx0vU1XLeVnbQH5OIqvl44I+
W26mBgq8D81Sixph5sgL/7KNCYm/SpLYVOYghIX9iJ6iXfVPD2Zq+AhqPcv+HkBeab9N3dQSfF8B
iEgPsiFNciWRDm6xfxMItx7yKTAWS2G3YfnAbg/IWB7ES3KcAWkYLGSjSfAdVHnLDiEW9eZ6N1P7
nBiM71Mbrh0/1NuO+xeZ9OwlJtBFHKhNy+aAb1GWnKwdElOQLon5ktMtlNPDKCYBy3EEfOd5zJpu
uKdyXIMu53Bg/d0Mk97OcVSz5UPUhwr8XdyzZs8s7VdxXjok5TxORNAv6YyUl+PMShwFpHWg+YPt
xzI5h6pZyQfcP9H+Y9cm834bNf00YMJkqA3I4iFUS4sWEFV1X8ouG7dDylj1aKF8CQ4br+Xycd7X
CYZo+F7JegDGsGwPSRbV44d2xhlTLmTVTSdq4avtzrCoRae0pH1/VGFJ8CZq0UX3zIyiA+N7vmx+
Uqh9RXXI0iUmR2mmMDJ5u2/2pUk7UJPyXcL49zzC3Eb/qmY+3KneYMd1EFUTHKIGVDh7wOy+5MnK
qX4hBtiDq4qvI9b7ZAuxTacw8I76Et4c6OsajxA+maHXyYHEfDq2Vpi+aDeU+tc4VOtyJknbRUgm
UUCeRaym6ZF2UGLmM432c4bFaNW5istmfjCQTmX9QXKZdHftXNoPqb0EoO5qp7dzmrbhKUWCzYZl
FFuOo9oZpv21W4LquuV9rJ9NV0bLx16Z6IBj6Yl8s125LodyFewK27X4ZFu4aAbcuuVqa8SV0CPA
Ggy+aiy2SEnfdTbmA8KQ+FGrkFxV2A+8rDKhtxVQSjLnWTPNCEAnvAKzdUS2/cAafpOulf2Hwf3T
3BOUjiz2Zt6z+ykg6jFcgXjFJxDVdxVPyY69U8TU4xIgt37XSJbnsJHf4wgdZm3kiVLQyOHkvbcq
JZ+HNahOLWl4m0u56dul7bIP1fo/1H3Jlt02lu2v5PK46AIJonurnAOSt7/RN2omXCEpxJ4EAYLd
1799ZVelFWVbLz17K3MiR8RtSAI4Z5/dwEE/qfAYx2x2UxzkabEPw1CdHc+WY+bP9cclG8sHRWsT
F4Tf1cw0T6xUrYoyoi1oJ66uqj6aSaEmG2Wodpftgni3Zc/HIHvm/qyPQ7lIleBx5nGzunXetqZk
xwX0xfBp8qR4yOoJrIUkGFrh7dNGjFMdpXhyJWTyS06+FEO6DE+Mcb5EY9HMElROf5yWpLj4ARzq
ZV5hmyKNv2gk6/a9DdDHFLQrk4yPvncc/RCCZsinJ3I0uZ+qa+vNdtgiPX4hzyuvAx6rJRyHkws1
yz6icm36DRsCL9jrQhfhuZyRax+5DPH20eRrI5+pqzW56amjegObhqWFJYHl+aHzRlV/8HJkCZcx
WwpWJMSW+RA5VqAUVYMTRWxq1ChTlFKP0jpa2OKKz7NktD+PczeunxBKNaEcygfJ8HTXWFtMRyUE
Q+UGLjppsDOyLsq72Ufvv+nakDbbQWDfSdDRZOLQX+h3m140Ab2BqKZkJ/BnqZ/4ambq4EM2NX8t
oA9obpwdpCbxorIxP9reUsIjGIpITKTWMqiXO7TGIkAXDMrmerK2ttgX8lZM/pVusCQfKjSr04eK
VeoQIm8bDXIziQ++pZX3scFMC23y3DGkFAKEzmM8HSiWotSN2N2tcXMyNpmR7zg0/cOznLC3v7e2
V0GZMNF7OK/SlnnjA5/Wcs4iLwgEjYYhNU2sUloH13aV8/I1hNy//mIKqNk2skTU3/1S57OC4QDr
zK10+Hjzph3h7rpThRd0txyrDDsioaaX2J7yWQAszFvI9/clJfm0p1VekSYJV4MSIKo55xls4Dv0
H6j4EPC+jPpSiyDGZZjuysGYbNqpKqvMc229btx2pTeog7XKMdyxVU0m6YN6Hj9WikGLxPNK2Y/D
VPXjVmek8WJVOf9U9FnK4x6zx+G8lGWY4ZaIAmJAC5Q9NnrsUZT2HHYyz24NlYQRQJ+euyzod1M6
y/ueBsuA6oCtq75Z6rqODPI0I4jCMkeRLybLbrtMki1xhghSd1ipRYOWKyciO0ydp6PBDZO9E/4k
8q8jok3kZq0IyRM+Xc7VKLPImNinKLPPBay58NRRv6HHtESm6UlnS/dOIWXeJHQYQr+OSIEp87Ot
19JDlboQbzeveK53qAN8cRxwBJQv00SLHVoAX33oYHEu8pipjBT3emR5Dktov+GFi/CQMRpL7KoL
ujkPwrlV5H5xLcuJrLHBgn+qfNZs6rTgLZZa6o4dAYJxBbyCslvZzrw6TqNRn4DEvEfpMQQckSoc
FPAOGTHBfRtk6Uf4WZRFkjXYFIvSVFfDQFCZrTAYmQ61kHms1wWBI2DQk30hDK2v+oHa+sqkzp6c
1l35ImA68er1lbXJ7DzcxnAWz5ULL8OdSuJsn8PpmaOWGJJs7VGrg9c0zFE9iWYLsbLiUamnDLUB
aAsjwu7kDLwWO6EFvjOU1xMI/YhIlBekB8Jv81yhGIsCBgb6AVC6smfay967pQIkPpCCRJuNh5Fn
2VDjpriFWCi607LYzITKUmxKyYu7rEc2/MaHUKD/Oo9BNcZeDuTqI+wOkCBrmLThps2DJcCjWQQP
pkA/slva0kZBiQ1UR6MzSLHLApd/lqyxwTOdXD7GS2N9dDsirMc5KkdZex+Kwk8/yUtpspczVOZP
C9evQ1UPIcpd1fsoZpuwcnuFTBAZK26a145hyUYSkR0xYkFIuKlVKL+BfxVdcREWuYG/ZRqilUGo
+nYOxCTe68xT0B8XKgUy6KkGzkhWw4ojQVHSTEfGu+5zXc/Uxz4X5mX7DKc2VcaBySe6L4dw+YLW
OVtPpg7S1yavV8UQyb2MwbnJp7B/8lLC2auPyAz2Ba1lDmSkzNhZdabC3kHyJQ4yv59ujUqFhtQI
s6Uw4xm5LTzOgWaj9CAnNsFQdKtGw4NkHlZCNyMf7RjVjZsf4Insh++0UeOd54X2nUyF/4Rx+7Du
uhR6i73XoTGe62YeNzyUMPRdy1G/wzWvTq1fgdbGS24pPE7C7tDlSvUx020zRdpLq/dQ6s5Rz6CT
0Tqc+MnM2rsVfJqvuFpzue1SWIxsarbMux6xEjtf1+QQIscYe15L7XOuMrbc6KyDengc4fcTsd6l
w8PkYPH6ER4caM7sMoX5e0DDVER8XHAdgqkssS0o6tMOFYeA/liS4SmfOYpECighy1BllMyDPaxY
vcSABs82TGbATSYkniOnRJi12AWa6GfYr5fVfSA7iMBnJDDcF/ggES1GX7sY2/YyTJEBNkZvdJWL
MKYaH+ep69Kp25Z9WuZxEAo9fbpwXQ9dWzfNaRZirfEelWfvKz+c6huaiQkF21LQrZTa6/agUIrp
DlB0u8E20bZbw1hpkyAfax90OSS3brqJYBOBD8wR9wJwRKpZp9FuTyAtj8sy3FsvL8e4Zc6vj543
NusO9mPrF48hNimqEQ15ytZuxvJJJS5HNZFNpUIX9/0wHWnno+DMi/a06Jzdg73cQyEAf0fgHDBq
oKFI33sr6ORbCYXM8gScaR5xEFnifxmkyQKBDJxqBTxga6fbQ4sJRfExX3vbxLhTELzLKkdljh2z
Hps471MN/3KYF6krWKRJEauJa3eYu7CXO4HcbGSXpiOXReQx2B5uJ0Uvi9ArxyxDumKPjgmbT5WU
q1XTYYAoQ0VBNw81ljHmXa8OZ2d60GYgWTLCUZuAidkEof/chajQknFSJo9FOHJofQa+VM8Fh9NL
QuA3X7yvAWiEUdO6PH8i84rdI/M87h+58BsWNyqog6QDGjbGXTsC2oqgy5uzpISOi9yEujfyDoEg
xRgtcIHWG7ekrIuWYA1RwSjtD589g1SFiEHqoe6QZTOKXb7oSXzm+FLTO4sClZ+Z9WsRh7Wogts6
mwhMkzWagrywTXO/QMBfbYPSkmaJGMT2IwDMvF0zNOoDIAc81DOKQuSapz3CqJVNr/KOFOvBD8nc
XikNnDbimk7wS9e5eSWMFvl1sKYtqCApqdq9k6MX3EKiJjjWlKHrhPlPu+gt8hsnswW5SDcxpirM
fWqnxnoISFwHefBqwCnvSd1c7hBH45P4RukSuj80YM21A35YxdBXDNZF8BzygxPhAUNzyQav3Rfg
WYyfpmBRNkk5T4fdhP16SgzTutrUlMo+CZBIM1RRb5ol36IbrNUpDWG/BvJlfYkHQ1pal5R5oeZj
OhAhY+hEMsUSODEQLKgibTDPxii0y458nOmKmmXQ4R4gQYdpfY/aLgIO61cRtHlrmfR4DOptODu/
fxUFq2oPvYMfDhRJ9DAx+aqrpoaeq8KEbMBh2qBODGOvNmrHAx0s86HyJZXP8IxuhvOE1n7W+OJF
WIaoQWba3TBR1PM7D99GeVHuD7Rz24ubNRrSUa5jeO0uHfQp9bpqRvEFviwMppY0y26WxrdoVoyj
HAs8rIBZiRizFoZuldhGtZ+LBd016FSLaMirGUavRzEgGBqmboDcdkRaTWeOVnVO3jBsHhlKRVmu
X6oc04iPZTl11TbMwtabcHU1bRGWzE1xF6Lcx1oOlAjZVqM06l9zHbJJRoOv4NY8idDJRx/4XIH4
F+D/wydlQlc9a8913m2XYeBzN14aVTgWLLIOYjH28DWGbE6b+pA3mHvhIQk13RqBxodvkKPo+hNE
qRmb4hUzpA6dbmFEIRLC+CBPk8Yk6YzqWvIzyqLQPrR1WZmjyOjUHTyHMPOPlJCUxPxSs21d13gu
qkUweeeOwODpznPWFdjjYEMfK1TG7WZxjTTXhR0gdGkYEePjWoNFFktiMeQpaN3CYsZk3vBZcqvT
RzpZbP4t8g3KcT16K/K1UbLC17A+TDqjC+opZFDHvpgHt1+6VtG9Aco+7eqKr+QZqCJjx6LCJDDW
pAEBYAPpJjEywbO5Atu6IGretjdB4GLKm9KLsOauuLZLiFkjgz3GlvigVvfbwvMx7+EtRjxLVCNi
TUZLP2uWmFywcD/MTq17Hc4eaWHpFkxOAdPLkJXWOeWXZ+Yba5+Zhav6q8hC15xR2BZiW7PcqYdp
wmgmqTNZZlAngpx6W7RtzU9pVrfVwyRxYU5LICt7JA6ROlcjPmuAyPFlZbelE012nEujqic0ekU6
xsShWu6TspMNYOsQHm0FiR0Ws/ZieH/wRSeYAwqpthWowRcLY/EBDobE+rFSMMBsNg1GQdYdUIAZ
XNhBlNrc4pxuATyDjINRGmo3tTxQXHaIqxTLq/UJ05N03o5YyVu1ruKMJpp7p8BLFQo7TuBeF1zG
eDLYkZJzvatK0bPzWncQufrB0g0fpsIpmFZUDtYh2yHT85JH/sSZwIwzAOmK9FaOMQewYT82Iyzr
bzvYLthge7F69YFpzAzp69Ksaixj1UxTlSyNuSTKDZZfM5OG7SGEuHza9612NMnGRbfnwMKnBhAp
wby1W4xw2wIgvh951ve9LWaUQ5HUMlNoO3VvNSok2hT0ZRaIeT+la1bO97BkCAdg73lq1i+0ZTT7
pKuO1AdCIXU8EKC+/RUE2mZ4rGFJjdqmZeF89kPPLl+XnpX6vCyZZwHwzYGMV4VyJAK+7DBbKawF
2a8fwitHGjvFw4Lg0IPBRygTtwZBFYMbzzEzD8MLo3GUWwUy6XU9Ihn4iUxVZq/MsPrtUSD2br3c
bZFC66CGBdHtVoTlJ8B8Hk1KJj1tYdaKfia2LZ72ZoPKusIBiY300uZPRk83yjMjjRfP8w0Wi+wN
5BKaXa6g0oCrUEkYpm6sGGsPyu5CFF/c5Xz8IhyU6rA3YNmh79TiRwT7Xf1AjQkGrL2MNf0QaWkh
9AfEhKAokZOCJDRgHug1NOvT6yAXw7TFNgovxLFui/F1KGc9n7tVNOydmR0P0bz0pTsui1jnd1I0
ery5eDjSvW1cGjUwu+kjVKPZBSzX84gzFwPMW7ksShxtDqXBNQYlDTwYUBuvgLb6CqgVQ3BlyIYX
CFd7GUFYFEybmesKqJ3p83vQJHxURCNCme9LMBtxLiJjA96NapSpehaaKJB7W4J51rhrU9N3Q1RA
7xdGnQSPgMaYfRv3CiApA3gLwIYML0Ar1sKL+IDytYwYdtkBGGLdQe0RwaQefed2hjwU4UDtHPL8
AxTWizORmxBi0++acWBFGU89/MNRhxI+Mz8xNAeVI/kPawbY83pM7jCpokNMwAiykSeHPo1hlEyf
KP7aO41TnumDyi/Yb4b2e9aXPTNMb7rAmg3QgtWB1+ql3uE/UjeTebFhvYdR9zwnhJedi9YlZzcY
WLUu4SnE33+PwfQ2fI4vYdt0ra03RL0vw0c+/j0+89vcOVbTEeMavC4t7iVAi4L9TQmNT7/n0XUw
PFRpIcQWxyQBiKRGcmWxW9sfaHj/xLAKI4Pv3wBQWDCAkYbJhIf11+ddMZyayetgI2iNBuAUjCVi
AYTqg9vZArpFg1V6JO68GffprylUF1bRH7GN3hDLMoxo5sIzYtshzbROCugIrkAe7GPUaxg/YhYn
f2B+8Wdkqjc8M9NbPGrgFG9hCNCLh2HpUpfoDHVuMuFkgjspHElqVKXz0v7gCv8JyfKtO1EJfhhO
k4BtuUQmxwDbmU0PrPkHX+jPXv0N+0wj0c+KXDEwR5pPlfGfJ6nTv0c+JZeL+DsOJ8r0vtFZyrYL
Yj+i3CyHwtX0b774G4bZ4PtD2znOtsCgNxikFlHqA3n86wfqz67KG3poOo/FwFTBtxnxLM70MY38
HKf/33v1y7v+7roElaZgB+G6BGsDb95BIWVy7R7++sX/5Al9a03Ejd9Mei7xuORCBV8sMKUpJnwJ
kCskg0ZH2oGNvYeuhOm/Fc9H3zrC5DKbBGyE2BZxqOxd2Bt7XfqAV//6C33bXP9gdb/1gxHlQgEL
ZeG2kSoHAq3aZcJwBf97XfyBP4eovPFf2tBv+a7Q5WO5Fo8+njS2T23hcvQqWb5BOuOXeaSIbo4G
gZLs10/3n5/n/5O9dre/fg77z//Cvz93Gs1+lg9v/vnPx67B///r8jf/8zvf/8U/d6/d9Uvzat/+
0nd/g9f97X2Tl+Hlu39sUJcPy517Ncv9q3X18O318Qkvv/n/+sN/vH57lcdFv/7y08uXpmgTND2m
+Dz89NuPDl9++QnswsuYBOvqP3//Jr/9xuVb/PLT9Uv2Ur+0X/74715f7PDLT4r9HASgu4gQdJCA
Mx789I/p9dtP6M+UBjxUSHBTTJALb79F+Gn+y08B/1kFDKMJBXIUCb6pFG3nvv2I/QxpJlegTWHY
h5cUP/335/vuNv3rtv2jdc1tV7SDxQur79e4kIRJ4AyAbQMlJYep9PercZU2ICNCiA8A75ZNK14y
jFKiAuZA13m4IDO0dixpwVroQPRMIEIENELm+mVGQMNVKUHvRr7TDsEPbZTr6balQx6FrXzKwkYl
wA3EDHwZszzMgeMJJoR3o2GIEAwoDEe0qx9sjsF8qYzZyzz8UMI8L7D8arHrEElWbHKB/NxhTJGw
MUe8beiGVKkBAzZ9mjHqB3+P1xFK0HNDF/4iCr/ejZXa2A6Di0qq9apu1iYeJnBT63opo7G0e+fJ
aTvB4RPAvNyiQ/YzUB0bCnDkwt7yRYLEMy/p1HTXY4yNO/hlAiCItIYzSLObxQb30MueOqOzGGr0
GDTGr+A0zEcMZsoVwyS57oLcPGAcEdx0RdNtxxXBA7MonsB7ibg3nR3DxVSDpucSDMkYCbDXYTvs
eg+9T6v7K8qcRWPeNbtiHj4DeFmv02erKLbKvlbbvHfH0M/ra6Btz5wtSd27TR2Cu9uEPTa69its
CNdE8RLW5H4ySw7ybvkIdtwh102QGBBTkhGtIQlRPntrufcWd+cFbNxk1s5PIKCyAxXNRrtgToqq
24Dog0sj+mzfYHj9AL/A+5yOn1K2CIy7wno7A/mIy64Jbxgs7QGArZjYYqwQo7cqd3II07hmkh0C
tS6PtOnuadWHaDFp6JKyyZcHxBqveQSvA70bvDK7mfmVatgTJSVAvZK3t5NBjO0wjlegCNyA/5dU
FX+X1ct1XYLeOrg5RNC1OWfGHjwgh2TN3k3ZZE5zscHouMCtstfGDF+r9gGuATqB9TPdM6FrQMhL
uRn8TTijf79k8vUKIHGK4QPkIv31MpJzxSbgn6KNpATs3y+H2ZKntHkOamRt6bwB841f3rs89MSL
DIbeT0FhQMBbRhaB1x7YbQuiU9zIyd/1KQHA4b+A+VicVl99rUt1BQJeFJLmCIjzlg4yHtsSSoHg
3qy5/2EE+4RERVdsQqfkg+Lttk3THq+7CHByGuPdrDllt/60DttCwaijBfntsw57dxpMVQyxXRi/
rXuqjzS1y6kMjXxhaKFg/ttmJ89X8gDGozuAB1a/K4GejEiHscU5D3JyyGGCul+EyR7B4gGAgb3m
QDuyfFgq28VLP3W3OWx+D0K09UfYPYmHNSzWuCYVLOx1y08579RJX0oKoKiwbvH97OC8db4ClNA8
rkMxP6L1dbBrQ5ZjYxa77ccLn8doZV5A2hdJ7+cjqFiKXSkW6nM1yunOdy29Zv7qjgMx/gcfQoKN
yLp5O3eKn/qaVweD4u5mNV3+SgF6hpFtFvNFNxUmPN2Iq766qbgqtZrOLK2HUw2WuA9e9EhupZzJ
/UThp+CngX9uqi5/WnCzQApl5oxHRZwpLJPP4AnjONWm8GPkOYidD57stcIXhKMPzjIwLsmPamFY
PH9X6stQKgVmqMApIDkoqm/7mqrC3ITaNTvILKuvdWi68VDa0V73F6qSS8mcaB8SgSXwXQLu7ZpM
8FrYYKiebcLBPWGA5m1ruvRYBaXFDosRZMKygqBuUuDbhEX2YUhdOuOZy9gtfCrL00Caa5GC+Q+W
8XqrOYzjQlClr5bsQpfu8yeWzl1kkMGwtzOGIqMP16p8YY/G5Hnk3NTccAeYLZkWlz7qaQq8nWJL
v8ZWrH2b5C1eOAqmXOmYC73s2jVPXWyBqs07AmZXuRkxpfvg+XlfgCSedRsGbOWJCrDFbQAWAGYF
Wy+Q9054O0QMtDFKp0S3Fxb1IFAFgDa5K5r27NEMCHnjg23i6L2eh3OuzUNqgK7rjgwRuH9Hry7m
eG3TYoO5MhQNnltjmHAj9yFvTnYNx1NqurMosPzhu4MGwmbAuQuwnp1ZNg2DjVw/8exzPrLp2I5T
uPXA90InyNl1t5RA/JVfb0Velfd6BYSkXYZ5wjqJnQKkH7sVPD4ks3JynjQT58WV9lwwT105RvKn
nGTBGX0XzD6YIvedz8ltXtEAIGIBfg7u9XyGUVtxBUBDXflAzaYIvBH7RYCbE0Yw+MlfmxrI7GyA
G5rLSlkua0ZeVk9wWUfusqLAY3FHyFXodeW1853ui/4ckhbnc27Haz3hqGxBkH2BYMdijqxCu60u
KxhwlDuSy6pORdU+jpeVznycPnqEcVN/2QeKy46AgQs/6bCDEKRvL89BLx/kZQ8pLrvJetlX1ssO
E172GnbZdYbL/rNedqLisicBTSGHSvrFuc04tqx5MM07I1d3ADKkDhpM+RN8SzBRhMr+payD5aRT
Tx8Jr8QtyEfYGBV++4QChH8GKpvv5pKD8aQLfovf9m4cdB4xCPUh3Ne5AAUIWA9A5tTIGV2LQoVS
KR9fWypQ7oCIi3LaigL5tAkM1ngT+xk1yx7k4ma8bqGEiQmDDR9oGcquSXAhGu39SaXlsV1tpt9h
BgFpS8AqPcBzk1bDvsvMmJ2DmmRz1NkiBNA0SMgwANej6odjmGojknnwiJd5vmTwcoM0ZdOsbMV5
zdhKYhPyBtEibQmjfRAxbig8dK4k8No7ENX9ba2o3Zgy9EGMNKyK6Zo2ZNfzvK43nvHlFKfIOoPK
XKef6Mj7Cc5PNcKBjFjhPuoa+KPFI1isNaYeI3m/ggcOXl/e+thbwM5ReMT83j8bOgT31dDjurT9
nUiXNV4xkdkQu8ASMWj3lkmyRazv0zCe+Up7GPeRK+Dk+ioE4TGCB0Mao0aF2MQUKRJhMEz3EV8Y
aUR2JU2npwhTXbAbxvKjrhSwynL67ENdhcgTzDjUEtympJ+uuwFrFNlVnwrxqe49dYRWq8B+swTJ
OOAYoF0Pt2xBdiLv7pBufA9NjUrmWt766ZTu80ZwBNEYsoGWSZwGPvN9DYpYXBQg+EjvHsRXnHmF
T88ezv8NWfVnWFBBRJN5MBG+MO9AnrjFcQ59sS6+snAC3R0ODRESo9ZTWWEcP0/d8OxLsmAE2y9f
VefjGXQgEdAYACL4chBHiN+sYH7rpL5rDf6nO/sbHdxV8dl0tvs6vG3hvuv6/j/q8yj3L632nzd5
79Cs/SN6bdHq/b7P++3vfmvyyM8E7BGCHk/4cEC7WAP82uRJ9rMMFOWALX14gwBr/VeTJ35G5yeI
IoIpyLcugvb/bvL8nxmcXwMpMNGFmgleL/9Gk/c9LijABJcwCeYKDho+fMPeOn7B2jPra1QSiIVz
1bYnpYrGjBcJKyqMONvlB1jat+LjX0jFt/eD9hm0EHSXOO3fBuSUwZzC9VehFKpshtCWqnyFEggj
Ur/VmxnW0UmTrraPHH4LZ9wyShWVOXPPq0nreBoD+lQhkHdMfnfbfnvAf9/r+t8XTb9+rkASGRIW
BOi40Yn/HnhSFttnCWkpQNn644AzGZWRh+yOle2DITwqtXa7rqZmm2KEneTLFTPu3zP/+/UzUJ8F
hASwcAnYm89QXUhdc+nkThdzv0tBuT7i9Ooe//qr/sEdD8NAMilgZauoeoMOgu01lvlayh3t2J5V
0zsZimI/FbVGUWKnH1xYPKf6zf1mKFEp7jgLQjxI31/XiyiFzGC0I0FO8O0s5zoqkTL9g3e5gI5v
3kVhRYDwwAme4eAN9hykFZhiLBU7lgPG66sL5lW7+7EpPv/bFw9HNveFwveRnL95I+atuKKXxzeF
JCVqvPLrVKwY4NP2lpbVD0DDP7hTCuUXZQpGVwTDpO+vHVqSrhM2FLuOhiSuIdqJcnALE+i26hi1
yA9Q9G+OB2+vYgCKBgXsBF/gt1bBBQbqqxGZANQQQpA7duo8iZTc1zDjPnQNwotxPCNRY5iC/dqB
COuTJv0E2RKcVNq5x8BNIsK2bcYEnqUAK1DOoFqnsk5Qa6y3QwClQiLzVvUHV7YFWtMGgURGr/kY
dVM/xYg48xPHSihGMIq+M01j7v76/v3ROldA3AIVEOzF/+t5vFThExp+sctAxzyAJycP6MIJ6hP2
BF3fVpepPbQm+4oqWG/CoAoepyyUP7jUf/S8gjESoEYQ4Bu9tdExJaZl6CnVrq5deJjD4roFrBf5
JOc/ANL/9zupiyEkDcC8YbjWb9ZfrnM7qRI8Z5HChGl2EtLarvlocxJsfnBp+Td/mO8fIEUCmKZf
QEkqfv3579D7vvGpJwIrdiFEoZtq9Iq9wY5/G2DSec89PAhBPzxm1dxsSod5eTJI0kM92aJAq7p5
2isLHcYihHKInmf8wRUje2FjL/cTh8Ywhh5+eVB2CM/DMHanKm+KXWvypYm078p5W0uQTHvwlyBZ
Eu5A1AIBOOSBW2XaZef1tk+M6YMNZZDg4RcJ6nKWdSzdTUPQo3bz0ysHudwNEBj4sNjc8k02zij/
hEQQNmnKl6UHHgo3ZFSnNZgli2Ie0IJeHCr0ke8LuoY3aF6L/WpDG4PjWkNVbyBKQXrNlV8uiaoG
Co61bg6X/PHYNohC62anH8PA6PeBa/ULbO+RVpH3bYAWGdNf5EvCHa0dl22r2npfkKF88IjubyRp
JIQjoGAmlZlXg+qQ9u8xP0+vDDgPoJiC6Tk2vfzMJ4v+OyX0Q+WV71pMPqER9jp+AvH+hipDr0WT
JwjC20NH1Ozb0acaO0AW3Pu+hNqb5lyeSEjtzQq6cpQNPd/Z3lRg7A8aNsEKMoManTeGNa4+jh0E
kBF2qeWsHEhqEdyWGpe4IHUixrAeJp39NL6iZMI1mWh7zkHrg3+X8697SC5xyWjgQEcAZ9e37fiM
yD64bjZMWw6TRqKeUbYtA8SGaniSdRMenCMjxuq9FxvOwnM/8mbT9SS1UZFdhnb9iqM/qjK/gfS3
hsoiAUZU7INMmW0rcb8DO+LyjZ5lLymvpiTDvcUmNPoA1TRjHzAbWU4YGoUfaI7pfSRJld+MWQ8G
HYJA8D7SEWiqsXnM2DnDxQBhbib1PFk21M9QqLSQEJDyMygl+A4iZXjiQYaxDwifrxDHm096k6PE
Ad/VxLUfiq8rWFRlBJuBFjLigabASQMNBLms3HIOqqY/rnzgXVJA84gllJEIvTjfBSsKnAj7QfOJ
U4ZYHxhoeokKTX8wqhERzUANH4EBXfH1/7J3HktyI2nWfaFBmcOhtxAhM1IrcgNLZpLQyqHx9P+J
qv7Hatg2Uzb7WXRblXWTkRkRcP/EveciEEf/l3jYs7VNBfhXIffWMZb2JTlYRjOl/lLr/LzprIzG
T93BzoJKMgXyNS3bbiTiyHHSiT5h6nVOhrp6Mup5CIps3eFUTJ+l8BZ643bY9fxsB1bfCDW7wTu4
lqj4fJcKd9HC9+NKs8AdW474LptEf50M1zkzgfrZEIMZZSPgVZV23Xcv9mydAtXojuhcFONyAkAL
OWEh1Tdr3msu22aor7z7wi0u7ohFMEWtdExrAmBy00p8o8+qD4IO8tu81ueDa6j4CxW8FfvYtOeH
iSkjE3MxEa5oiEOewcKe1ynds5M3aP5S9TlZ1fAgvX49eMjD9qof3ahDq75DO6/5lfR2y0SBiJgW
GRJ67WhxYN+rkV3/1J5gKLrnHoXJgJNrplHoE5cuOn5J1sk8d0pP7rSCCHim0d5HRpzEi9ysISqT
xLB8FauRqlzFB4kvh4ZzwIZgZTwKrpagp8N1YbcUx5W00nPSTu+uq/qT24gC/t66+vM4jgcY4vVl
YOCOxY0corCBoIGUROUsS7QyD8wxb8KFjaJvWNttb3RpNOXO9iQ7p7+0W5H9WDJOXKFddXexnu27
rljuYbTOxxxVGcYBwbyn2LwXuzO3CHmaFtYIfy6Jl7+P+DP2TV8tAZHCfZDY93FZPQpRlEdgjfZx
Ho3CjwtsZ9s07XHiajuicOaf9YzfxC+QoG48a5r+vnidcTHL/gKDpg/dNk+ChXA5FOmrflMOhpn4
tpuWzK+cIrTKZt41cBX8Xh9oKHS7xcaopse4R0S6U6YD0GKA0wof59di9z4OLOuZImnbj13a+VbD
o2zrYq/rthXNc4PNsx4e2kzdGHm9+o6utcHGCU4keP1B1g2UC35zQ2EwT6B+dCYGld7pwzSDNb1I
XJDGOBtY88f4sSZdInLihMG7a14gS9Sh52qbvxj2spvnsfsee8jYnVVvAnvd7m2rA4k11/bsA9Sw
32vMV6z5k3XndIChWA1BQwiuSlbKKqyxL9Rly4OsM+NQ2ka8V9lcBjqHzW1W4TzRGXQ8EWlufVMe
9p6wwBPDu2FX9sJx3uWLr18ZPKHTNbGIEHsXuCUa3hHWzZtzX1rg9LitNvU2par/geEP5WnneOwL
knxdIOLVVR0M/fZrlVlNChP+ydkZPyoUhkf+us0f3KXfsXQwAx0CTdiv5SNnf4g6Tb/lISQxPu/j
QBpe8U0KozvhM0p8fdw2BLczHtcySXdZVqyosLE7Fqx11BYvd05pvk4SrVriaS8GIdkBY6bu3taw
DPVbjJm/SPXa8WO2DowEr5pcx+yepC2eHHJWDg1iHN/DVHIY+iI/XZVUh6obx+OI8+EKrCEM3rb4
UkydlPukYYDMkaJFserxlbeyvMHKLe/HtszCWqT1t8aFStWZVhRra36uFafFgiD5FxdSFuX1XB42
1M0vGLl1aA6LNf9U5WYhRxN1Feaq3/wNfgE1o7XuNM1tDm7ZVEeEiL8aKZvTMsf6EySQbqfEep+p
qTihQ7WCxjOW0UczOb1ioEp+WVuhIgzG613nruKIRjreabWnHjerTHYw+b6U1423eq0lu5IR4okY
Y6bcRT4Wh2USyx5N8hqMccderBIPHUvSoDdS1J7utOy22DIzPzGT+pRbfBPcRQoWjSgmF5lvu2bJ
irO5Zl7pQ+/M5mBhqhXgNms+5SLLc1zLYtjVA+8IG0pijGpYCVhPXRZp9rkwx/dVLc1laZbbpWz6
L6tqxxv02i0Q1nIJ6A1vSZnqIy/u+w+jt619JbrpWFnrvmi01zpeEdaOW5tEHQTlE9O5PEpbHA3J
aBP73i/DrQcfaC+4BA9Lm5xqlKovJk50wAyuDGFuqK+unjdu7qtgQrJ3C5oxmcNWcjYXjU2SGQlb
D1dnSwCexfbdSmosCUTZhAwypvslVW+YXQe/0UZWaFMZVOscNYhoQrDUbVTi6VTNgh9karb95A1T
UEr061vrXOQGG0US9vlAYW8pP8lj2EwxXAF2etKvFmxYuZbtWqfGLSc+azs7jLM+HMtxVbg0e3kw
Ggdejz5xCxsLAunM2valhuPPc3Z9YzlQK9cVTlCruSevYVgtwTcfjPIZfkEVdmOhh7RQYd0lhO4W
SxEhwU0iO83jfUo20d7g9eEyWJ8DwON34raRjxIXLebVjrZ8Owxt94LF0vX7aT0N2vjq5hJg5nUl
Palv3sAo1Ei1TzdrXqVRXOrMfkombqis0u/KxfmZFD/V7E57Ig1G7JHJ82CPuGu79nTdhWSWftEI
1g4AEvU3pdJw1Hs6iwmv2Mez4X426IN3CaATbqmgdttpDyWnetuML0Zx5c6VHZyKOa+CsmtLf0SN
xAfYZ88jRH9OsfpFbe6r3eX8p/tg7v0db+5NqpffTCTv574yVTCWKt/VFZsY6R2sqnqe3fxbLTtW
DmYZWH19S2YxP7sEa2630xyNaHj8IYegIrWR+EqL+QVUp2Ndz91utsvHnKeK7Wv6g7HDEUhVqLmd
hZdX94dumsIuT+ODrUsY3JjK7tbW6X8OZekxNLOORaxVJy+zICDF87av5vhHYTg05rT7z8N1z35t
8nlkNcv+TBk876qeXPC4snbKE+VpLUoRSEz711LK7iLTWJ0gLd0xRBOch67uKd+r64s01YI+eaFW
aWOP5n429xrZxvt+zgq6eo0ahl8YEAW5kxLVL/CFOtwaPm/61safNecJoNedaczM3KX6jqtr1w/U
+bVN9VkVkjz5mDMf3VwA+fwx3YwLWo83QBu3lY1st1743BO2PszoS3VM063l0q9frrCnAHW0L5e8
fc/1qQl1lPOsL384mvlml2IIWAMriCU9H5rCvCGN8X7FvfW6MAzFXW6VBzUn+sHcZBO1cbr6SM7z
j2wah33KAocjpclPDhYGhAAEjHXVTG3rqO8kU01707b5TUU++1U+3VkM7iFJGE20GeX4C4KRcZc1
C9WdbZS7VYhmp3nLEEIhuNT0LLuc/udEIDvF0dWgBMZADTQYVut27ymK4T15cuOeEctTxyZgF7f4
FKfk1qU8vEM2PYKA2ZhleDE6ek9ic8wX+uZMV93tJkXtq2wpdsKmOXZr9WZAao1G1xA7RAqCTcvg
sdy0l2ep1bQudUstqWaxSxqn+Vz4pU6OcsrQXvhI2Si3B5lq4577Vty2HfqApCnqU9Ud6nXLI7tu
5EWs0O+SHj5DYbjmK+tl+9VdrJ/xostQynrap6Uh3kpSyQ+1nmtPbTupHxiFkvsBAfaFTU8b5Iah
7dshnfZLtSAfwvh1izCmikzGOKGTIocTHZYVdid4lan7eudFsEzUxmQwMI9kfA17ZnwB1J1K+GOK
Ja/HiQKHofy2dpSKCROvT2L06ijr9DVIFaXQQIu893LLYFadUyvBgTvAerNAM9j2qVVgNsZtDWmY
7Kjk8d3h3RjJCc6NaM4t3F1VstxnwsqpFov25JC3Eda9/ZAyiMJRxSe+AQ09yMnScQA6sgCENe6R
dmcXc1HqCCgyqr152Xk86PRSFakCeTZFeaaoKy2junhXh0tel5jAC30OJ4hwx3ab1H5cpL2vysE6
8zprNGZFut/g8x/iYnZZT3kxM5emC42Map4G7GnupfG9qHM9sJfha/GM+V0vku81Bs9Lh8Dqrcy2
L9px9ejNHcSTRAHNyPAW7fRCTWdN9C9SWm+8bH+qlXeErmZGfUo53JvrGqiYkZtcevhSolM48oTG
bKhWvRFVmCIPXqXpTB0zVmpuzdcHkPvOSps42dH0mW/IsPSQr2D7NuVc03GBet+tRxCAKSCZYEUV
9MCsAtKgNnuB8tL2Iy9SA4trJu5l1xlRSnzF6qPnV/eF9H50ZXUFVY3XtGsDGJwJ0WeON3g2nmMw
YBodICi1uqkbYplsbymO01IzEu1iO+o01FiaBoQLuikEB0fPTmu6olOzVAPtT29mVrbb97k3xSHZ
kvU9bRSW9TxXTDjsH84CaCO1vDXAjpdEGI3au9KImwBnQHaDuT5nS2nkR75+D8S1tToW4qQ7kLuT
3iSIgaKtabKznKasxMvHRPVcLmPp+OZoTA9rLsyvKZ87iVGrWPfT7AAcNMhyfNdRvheROTuLFakx
zX41fMkcZOgrzpc0GdbnrfIcB7GOpuLI1ZYBil2hynfMP2OkrTOd3jZsz0Im5r7F+/Gi1sIM2Zo8
5WTOHZSnis8KLdIO5NQSusSFREgECEXsW+slLupzMUy3bqWrU4nBjkUydwfParlBHaigTzguzmfT
2bBQwpZI0aeWzSsvpF6qsm7ewdsYd3pT3UK8KXZ53eJuSj321voMRjEnc/dby2r0NFiVjPCkNmuI
Zyw+6FY8vcyYPJ6KeOqes8IwLwLcSDRrpvAF0CN/1XKm7H3ZlmAsPQCDg5ONYbfFG8i2VedMrAT3
rwZFqiKcpJoCfM4auRTXHbGZalcG4RjvOkxleHu6axZQwWXgO7hVsF11fbnT4rn9gI4oretnAluJ
8+cWIx4SV5AdlR/TTO5H3mr3hvs7LXaZVI+x1XN6FY+oNqu9N6VLYDG/ZNMtkgsO1Xsz0a2QSc4U
4Dmy/W3Sbhm4OyC25qCfYg5e9gg7DdMQYkRMCODowjaDPYdLJ/A0vE7aUoBKmbyuuFhJ3sES7F+d
LsvTEBWJRoPQ2h/AiOQBH40M8B4P0YxckV3ZMCJ+FDHPf5Xvq5Rct6Vr+amG9H1m5Y52AR6Zphdi
z+jja+uJr6uXafObbX4d1/TQzcO8Z1Krg3GMxX0vseiS9oggbtQKqNiOeaiHGk1eWnQnw80e7QFG
P4qsU4yXSYOUhKAR1GQVMdUZL06fyx8L5uw4rPKqgpUEInUPSgjZXSza4Ww6ivx2x9LAcijhftn5
BC9ule0b44/2oXb74TEhufnd9YAf8s7TFzO62+mTcu6o5ebA7sBTgy370079c0ivspNNX+6sLdli
rFRl/IMZLBU+8/L2XBvJAI+HM0/4U+9gPRmLWoN/mXRtjnfcG1AgmkJfIqHHmwAZsrB2rKw65cw0
Wu+Fu3RENwVKCNQaSimGuA3WtuPgrS3yqkqwUnWhYG6NU10Gq8hfCnuKIwT63U0PNiqMxXXjEmfa
9xX55VJmRPekAPz6ce4frbk191WrizvGIg5/dY/YN4HmGFiOszBEp5b1gm4BwwIQgGP6GtTBpmcJ
alWHVgu4Ky5LKIVgLbCKRXRAcdCq9te4qZd6WLyXGuIt126y5ihD6x4Ah769V/XytvXkQppDIXfp
lIVaX4DOagcopGuWnZKGmRALnWNSZtorhtQs9DJml4zdiyBLt+zUxsg8qtTcDcRVB11i5QdXeDSz
k4k0uAdSfKSCnWrAPJW97QRI3xTFDMgPRjszkCvlAtsz+3lMfFdLx81nq6LdNr2xNrh3KuY4TDTS
J7RR1pmiD8RpbjfRkKXtEwJ89FzOYGN0bKueLTUDDzsmPVUO95g2TeBqaMmfRdJ2B1UkNJGKbqUJ
cZqpkwawGXqXWJdd4fbK7xLGmmJ27Hd+r21H3CPmz260mldjmwbj2rGUiFUQfDDx7IyvVWL4CvCN
AcT0MAcGTBbbF3e9HpbFdB0hF0Zs/DLtAsjfTArrHvJUyfXGvOTNWgrnfVhT54aNVHMpkQg8svh0
jrY0jBdhJUkb2haoBapqEzbVUPbet2l1GwoZraqPghtO8N0WGeM0m6HdaFU8W/nUgN1GdqT/NAEr
vaBKFa+xyNtfhVMj/R28vrqrOyFZMWBC35C7mcVXp1niGC/wzQSbkaesIi4nLFKt595p7O+rYzp3
VpuXP0pni5mY4gofYSi8gzqc6I6RyH3kJBOd2srk3+vZYwxRajRMwVIpcLNtYz15DZiXACGy/tG3
iTzgop0qHyCTfV8IUI6B2/XJPcZoZruptrvCvF5F7w2/mlo2ryyR4rcqqZAZ8uxHWs87j4ipLo42
leRhrbPtLV7hAdaJ5NFcs3j4JpVmfzAFNr+X+KOCqd2QEBgZ8IKeEn4zJoc8ClM/tZpJDHfV5FHl
rMsviWk30Jjb4E80Uab2rgmCoKuNV82q0qOxiPWi5tn7lusYTYXTN75Y3exkM2a22WMM7a5tVPyx
MWThAWjK7ptbD/Fpo9amqN5KtS8oANF2Vn26Sybrmcur/jnBskDQqcSeZYOG+dZSSUSZl8PH175n
jHsaLMEcyPxTHE56gqI+KfJbdBwDMFC2EpHRtPALHRduwZIw77Iy+Nbwl6v2ae0hX/rFimmXlooh
pCn7/CKHuTya8+oelzgdTpnZtF8wD1kMNvqARCvXnXLzQSGUz/AvhAiHomouHBguYmP8bPewa1Wz
p01eZDDJji66IbGqiuqsLKiz8TV86rmaHxhYz/c4NrsnKIfNT2gr5aUWdXHaxtj+5ZmWe4mHtr1J
TAcxudQn45c1Ds3PQhaz6WtTM36rkZ6850r1DohAR9mhm3VI/qC0mLGP19YGKWN7YcqC9Lm3OiIF
XMhdGVrYXjxqajBfE6eqvupEveoeU9G6pyLB7IwezylhxTFx74p7dMfrR9V7xEEoZqcj9RS4RofR
+3boB8Z6ljf1FXTnhTd5bCcKDM1uN3HK086skBbrgn3DEme3ePwstLtsXTkjwCrvDLw7Z+gHygkL
5hW7GWoJvXU9QdeRLpeN7AsW0a2ricvUmRBe+UrIWzE6DOwcNMuBRdDex6jauAhR078TS9/mYeV0
6XGqVPOY8kFBT4V39AKFDLUr4Efni9LInHyCq9fPPIGhEZQlIcOHK2GPQgqjN7Dlec77faxzZwLJ
7hc7cLza/j6iPE39lpL/nMTG/ILzlpvNs+d9smlM7bVa906Js/5QCo08m+N58WmteU6okfgNWCbo
oOmajiuXOfbCHsf5lgCt/oI3FjOyHKwApAlSEV2/gQyEk025prL3hmmTHOswwZZ4ThULD4P/4VnH
ZDD67YqjKgJ0ULHp0J1miMw0Y3TW6/lnjOPh6JiZJYMyGYQeOkJkUVXG3adaHQSNi6lz/bO6Wc+A
J8tAzIP9vnVsHVhi0LxVKq6KA1GpxldeDuK8KrOmwd1Wfb9OVb03iskOAHGsO7tkCcRXsj7Oycii
zGGZdm8DtkRzbY7cJn3cf27YJCnxpKbecietEHtTTRD39MuYdO9saaZ3ylFb3c+bAYqTX7s/rapX
l3UFqsuulh5/BY1hY13Q2Pbt6W2aNKRrbn9BfkNz6ZV5dp+61l3J3ncvkw6+cVUZmCpABB7yCnE+
qXAQTOre/LBQ6z5qdm5+ajajHYB7N+jQm6/RMvKrWrsUh21uPIa/ZvfucZvfaEmj35Ztoz0m6Lf/
QYhxlT/8rlgwUUFxcUtyes2rfOJvigUIdU4LltS99vQsT+mYQTg16V1JNCD3NqXq3aRr+YuY0Kv+
5Yv7L7a4v2vO/kwc+rcXx6slUPhJhDe/6Xs2qQH98RYYdHYy3Hl2qw6T6tkiCNb2xryIIKYnuyIw
8+lr3rhS1DiSADAVOriH/rNoYa66bsWwsxXgb2sWTBA/jN1MGc++Wer3NWxwxjKVDfSPG3U7KNts
TrOZb5ehz257ObGqgAq5M1BqlQFZWkBAZypg7vpSY7BdyD05TCBAUAfhF+csGxVWCaBFz8tIc2AR
C3jfZfZnXsMG1pxpOHQaB37e1E4DrucqlQI2+Q9vnTT+/XPzmNniJ8YlxzL4NxFbxVeJt8+kWkdD
Sd8g7k1zWYkez1esKkiWgOUfVsNj764jyz5n/bjuvDKiCrhqDGYZxlniEbeTTsDmx8qOAOVOR9GA
NWkW7QxXj363LCiAjTw/wIf+pziO3zybV7Wf51kstEyX/0afc1XO/e2rl3GXtJMHPEeoNqfF8aaN
9JxtSc+bNjzqy2RDduTHWQngPulCjD/ZeI1HJa5qPQZull4XPGKzYOyBbuN/FvP8u2yPH8603auH
EGT+7yLBhBmerduVty90BlWsIhPvRsS1+oeX+TMh5LdHwPNMFI88Ahzt+m+fY8vCmBw3aLasP1eU
/hJ66TyrMVyW0v4haeA5IwsoDXpchzAv7ceMIhRKxNwVZzQ73l25ugWyGR6W1qqru8EYxeoX8aZF
Ziae26HoX//nt+ZP4sDff2bOa6FbFgEZyHqZ/fwm04SrvDGQ4Ls39ZJDYZO1FTiC4WAeFy3ordR8
9Yo7EFTNN7CNOpx1KYJ0KtPTaq52iJhh/bJyb/krnOr/RNr/ZMbFY8nX978XaZ9/Kpy4f9dn63/9
kb/02Y7zh+HpaEd1gT8PrhlRrcgusOc65h8usjlX2IhyDTp0bod/mXB1+YcjXP0qA72ePuRI/Kc+
2/2Dm0To/H18pT1H2vb/Rp/Ndvm3o85B1MoJgbBOmIhB7d/OCTDG2lwUehFdIwPtuKG+HYlryYK0
b8abOgcrHItRnm1jaw6iMgaGpqrgKKm89oKBdngzZxNrKTjq/J07ZrYCIermCJyZqtJzC9dhZjrU
uwRIzx3UEYgQk23P2Y2yuubT3Kzx3AOpUKdR2CPbLVIWpl1CSYvIYEvtIho08mKBtLf4LnNTEFdf
XYnk6KbQE01IWELXoADnSkE85a/TstTnWSuYx+MBKaJah66PGSU+I/xW48lNhf3WbbN8IwbQfYaX
Ot8129CmRF31sFdqkZwm3bWvsrKUPaJbjt5J6gVaFVQiTFU1gSJmovWcTlLFKVM9dDPayYaW8yTq
ebR2ReFlZImsVF1XVZiXcwkKXGAmmRbxXepguoisdKO0p1dE3tB3cznf2VPl9DeoQqCfSZr3EkdY
YTp+mnNa+6PDDCnI8oq6aF6aGzlqWR8Jctdv8HQJ69CkvWGih7UsRh1zvj7Nm6wMxC5QqnfDsJRD
gDEt98LZ0yjg7bktPtHobe1xxbJPBk9f8AIwMN13kfX5XQHB6cAnYz4LN58Oaxyvt3GzevfIS9gu
Z16ulghqYfNCN49CasurJd7brORYVCxsP81JLa+iLZyHohP2p+CezqLRpon36Rp5a9zE3fBjMwiN
RquXb92YjW9uAsxvN5cmejcEiGIMmBh057wa6yc2YdCCcrfroGIOujYfzWWA5Bmz9ghTl1cIrUFM
VYS3znjMsUcerKTLHlibDo0/ESX3edXAMgaBlUpmjifn27yc0rNHMgQret1mopBiJ4s3OtMgnryF
tyDeICdPGuLKzspkHI7OfJ086Pb3zhmN0a9ga7G0YkiLQIC5vrmbBaKqw7poDOkAR8ciZPq5TSEZ
NhC3yD5mBmNQCPfcx0VotnRxMJXazPJFq8Zftr4thF5tFvOtTLT0MFVboLaRbjfuYkwg+U6A3X+o
ALX5tKfFvCsWfjGfJarSaRRXIsQSOaibqw/1a8yg4R7dCvRLHVujCu2S8skG45O6sMaNoXryPOKG
emd0oQ6B0UZkwxJF5a/t5t2y6QbNPKrZgYVH9X8WEq/k6GA+WnElHkQv8ldyb8TeZAcXOZm53UAR
g1yGmnzXLTLuiMOcnfmyevWgP+iK1buaDfbxvcGofJrHwDOGNj+Z9KxPV68ld/A67UmF6MmOUXxT
oCFZFzG6AJ0HypGZFzBSykRMzO0PFmyIBSckB0FB3MR4QiJUrFdVJ4LNbsVCzcp/vaLqJhS5zL8U
7tuMXSlSs5g4l8d5rO0fRTl3bQh6kFZzXomHuMuw1eG55JEZmU22tghnrGvM7j1vMNwjGNZxAz86
rttF07T8lV2ywyDPGKxxhyN8nSE4pXJ0Dtqwcsz7MdFCmp9Apdu5Gtv9ZmFk27uQ70QRUl12rOwJ
FWqtkVGNZfHb+v9htd4qxnbsoqJaWkbW07DXITju/ryx/u9y/4fL3QS8Qk3431/ul4/0Q3306aD+
yw3/rz/31w3vij/QpTOx5Z4mWtdxMf/864aXf3C3UjzrmDkwdghe6/9jNuQfAr6GTQWAsoxynT/E
hXrFbOjWH1QEFveyIek+0En8b254Xfxp7Pl7RUkdaZqOTjPj2gJxLz/F31sBOa7uAil/idahZSFr
X4n3y9SjnNlS81dSDN4YDBVtbLjQJSjOZSyxUGGFfvY0R8siF/eoX9S91bxXq+l5tzxI1/9H3ctP
o0O4GGabcXQWGAJ4M9mzg4NMVOrHWl62D5bKsjfNtLLkSazm3Dx0si57+N3ZQOCNWXOyqdqOIRaW
s1IAR1sPbxgD3wIoMQk4BEBIPMSerKhNViOmV2qsOrmvh0T/peeNCcAeR0bQFaN37IpOe5TMdRFq
FdtUhURkmeybMr0r7q4kuxsADCS5WSX+L71W8wmEuOXCRW2m+DauQGxSyvBEErEi36FPMhaZNYHC
rXPkFa4Ww4FcyH0gqGJRZn5jTobeMzfv0yqQxZKosJl6M2dLkKfPpku6xA6tbSrCVWJbxWKWZ/kd
FH+kD9ki0bD2xo0mjDXZbVAOy4MG06c4QXtGdWRfMzv8K9+l9VeQzT1hfa75IAe9WAFbmiNIXysN
h5yJJ1xMiSaxb2505aYEDyTtt17XPi0ogLmPbvyqSvcqi93y3CMOG23X98wye+Nvg7Y0Jeo+RiWA
ZrJsIeBtxEChrRSJ+Vis9pZc6gQPamBjKPF8MqAMbCzrpqEgbewGdb4trO1iAn/WGJfprc3YaTO1
A1DA/GqKRmUwIqyZLrFaVi+wsqyXoQtb675eFn0O4PT29Q2oaSIGSWdg2ttMrX6wBmJ44EdkhBcI
qqf2jLkDsSBF3zhFFvXYQS7uMITgqlHOJJvknwf2EisLrTSLd8jxJnCMa9OvEZ5rqUN1aW3pm0m7
UPpBDDvki2H+aEEtvlSAfQMKGPXV9LG+nPjWkW+ACWmFDa8ooWiK0aWmSqA9LfsB6BqtGsp2zWXM
r4EaPuW5MH60no66L9VHsAfpkvQoqNDFrMGqkuYEKLid/KxVxc2gsvRBZc69Uxc288wRCOIQd9qR
SiQlZ2R2BMvqqn1zUUk8amPaf9+81T57VnGYGgl5kiARV0IPgMSPvyEb5DOSFMfG6VM0XTCKdn3K
amP7Qvu8XfAhqTlAbJvqd2pMHKwdQD7mSNZbOx02kaDuwIw+HBZc8V3IVKj6Nmhbd+fhScbZ4rUA
RGOUbk2gYTp67lZQtdxZFY5sV3PJBGcFbd2YQ51akNlwQWE61hL9PAJGZEuQVOZFYaQB2JY2K7PA
vMq+k5Mkl8hZ0YnZeqLBdG0hnoZNl0IHdkX8qm1Eu20OgY3V0tRfsEzR84PX3iWxubyxoa4CpFIu
jk84xt/WMuG5afHw3OG7UYFpVs25FuX0zH4yT/1yxYeYlRCNMzxG94qsB+WbaB8O49RcZ/o6ISI5
7Orq0InOfNGroj+DSU++W4VMvWgbhjJ+KJYMuzcWrinew8ied6NM0h9Lq6G8ypFxTtATdHZ99PLP
GdXhcUH6y5geTQFgYns2mNg7dvnVWqk6GXBLDYgv7vY66kn92U3N5BFIZCzJHucDa4iqcJLAKecp
MqdkviUsUkPzIw1qNWTB81M7Z/GfuYdUjcTVAfXBi9EB2ZZxe5pInBv3ywo/EI2nYJqOGsEuAhTK
uQgs0fUoXFbnrp5kE3gOq1vS7pz6xc17jYpn4UHxvcITIdhky7pOm233s9JWAxruZuyB7vL1TN/A
Voofw1gSWSTZMplZoXbemHYhLZSNzpmJbdigirp2GFkH2Ki3eEZxO3LsX8PRqNO8+hmnEj2MbrZb
NJld/FitmnhOViwYvi1nZ4owTmUzuKE8f2CE5sClFRIfiQuLVzszs8s/WEg30wGcyFhcTCPeAjfh
yGHNY4AUQq7NVowR432cFcmz7nLMhVOygOPojcxDuGddFYvEeUExJeRhfvFo4jbOKz1DOMI7n0Vb
a9oP5QLWNijXuqK4xVTFInOd+EEwRoC57yT6DM4GMNgpOIcuSGlh5TFzpQlbH81RxNqt8OAXZwsS
lQzRTmxu2nGsYdMsS9OCNaA+6A84vVS8GzpQDUCYsy8G8N0btXjzoE1DRkZXl22fhQkk228wyIL7
wd/bhLzEAARl/H/sncly5UiWZL8IIYABMADbNw+cZ3IDIZ10zLMZYMDX13kRUd2ZKd0llZvuTUlu
QiTF6U4Sz3BNr+rRHEp57RUFgIPyEpOCfU8Zp1wExAbYo3e4ofGJTtgp7oZimRkQetf9DLuFF11Y
1+3T3ITDdWO3E4UIeHEH0NgcrRH2PXLcAdQQI5vswQ3T8WUC4nEqZgZzNtrWwu3Lpr44AeQzXhcX
8NK42CHgrbzgdUQDSdcejNThD6sbIBVu4tzgAQXu3lhTU2LZKKaOLSuYfe74QbiCcZXGt96cm/lA
gqSN7uZQsoi1gLVfW24fvcOi8u8R/M6dm2eGbVL1oKFs0NK1qHQT1yRJXA65TZyMFsEbrHihNl95
W8LDbTkzhT0U7geQ4bBcJyxIX1Wm3d9DC4Ew9UzzWVgL9QBNNxZH20w4Bi4vAAzC+ePs5Wjkk4bi
PPdVvibRlz1YXR2cnC6wxX50uW1ViWStUeb9in1Jkq07ajqxdSbsozyuo+ug8xFCgxjcNS4gLoiJ
kA9eaVXFR+qoBJdWgR+kSZeD4VJ8YU9gaQB75jrArfpqnycN1PDQEWqPT2Q6WynB0rUtJwVZLZuD
rZNnwc3YWSSMSi/5plMifU+H+YlFOptakSdeRky1b3aZaT0iY5LNuQwCvN89ZxHGU3cR45Fcivzq
rLQlrELOj+amPD863uzv0ULCew+w4sovMueJLEj74TuoSDdu3o2/EYPridmgELB4VNqXmzSfLLnz
xYLOPIct2GGH5Muh8QrzlZCd+56okh5fqIOos71s2OJ0ZMH7+ykWQbAVLG6jk4cnRV1BneLHmCSR
nlceuve3m5Rjx3hD6cORjKRHKSXjHABvzFzRqa7d8bGzQcLDF7OqxykaGvfYGFktD/QNPYwDFOcT
hKpxXrmsK+65vtU0Ay7ptQPu9JD584DkanpFbIxXlipV1a4DWhybtSAjQ54xlLQ0Ln16rBA5TjWe
9UMcTe4t2/YUm66acHcY1u+UeLA1sMuEdzkzyHfvuebZJ3KzRWUQG9Jqgim6CV8si2wBjZsYbI4h
jPD6E4t/1O45aKOnOcu9b02pGa5Sr69vaZnpXjQSNzZW+iZPLkvxq0E0QYntPHFeCS87L5JZ7WZQ
frKPyjGhGrzqZbX3K+kB2RXGXRk8PN3aLVrvFy/IcsMrK8TgGlruq4qHT9F3cbo2Y8n6nAV9C7+/
616dzG8teprTgMayGNVgbWVz/dIlOnmCgR+2zG4UVNnMi4/YOo1P8iLqxNsyQY+LOtonfimvAu9k
eZzGIJAMM/mnYxYwJHP6mBfCOVrC5eRX+FGjU+cCMjzYizMuV4VTFvMO557Ob7JmdOnKxfWdryx8
iqQxiXcuO/6rwrrLuyRdk4MJkx0r9nYH/sc1Z82+9omOLRT3TCTiEROvk22Ex6s8Bb/9ABwseeDZ
Xw7LuODOK0Je85t60fouo4hgDUQdeaQc3J2wmAqy0vvBmy0GqgR6+iZ6oqBH3Etz+opDJ8U0IvB6
r6qW3ii8GjaNXW6HxW4yG6vCQG60zrbQcMwJ82CzdfFQr2mf+SgAh1E/MCxUZKZlgOnBTX3/pjOR
episeIF7ITJyuj5ctdr0cHVkXVCMYkWWxLvnZbBhZIpmhaplvaPIauuUWy2NcdqtgmfAY2gdNVge
ih2J6f+yyzAwq5gX7U3iXS5nYAPo5B6iyDxms4nLXYMayK/QX94pv5g+BP8Kucmn1GY9wc8bJ4Xb
DnvP7c0HUUYFTs4pvNssde0nBlxO2JwS6x0o6/QUu435wdPJ+nkOymOPUy07jFHjXXNpCGNaK1vx
leO63JR4HPwNQ8ZCYGCJ0I6XwpgPI2D/rQTQasFvMWY13mXtmrwtdtmgwH6+5cNMq9BEKPSLj6+8
Gmg3gpLr2Lzd0XWTQ5ymF0gf8b7J7lht0jpS3QqbYWgb49B26HlIqXXnRmxDk8+snFsV1xu55pK7
7HEbiQ9f8QJbY1nk/or8Rlxw1ohxXJQiOT/38eB46EJulO8yKhy/x673j2OqnXcyNkhxqd8fipZj
fhFuTwv6LDlrCtVse5yom4rCnZy1K9f09cyeFIsFLugPz+ri2wTUwF46ffrSZ2EZbhJaaIpdnJfy
fulVM5y6hgTdZsCuH9P8XMttWBkUaj0lOQOlYAu+pgbF3IYt0Nd1orLoO4vwa7tD8pxGUU98OsfD
0dQUR1TtEuzcIMPQQyL2NA8OrC+vq4+tydq7YOzsTdtLSSnv7MN0mjM9PPS0xWN20AHlgHU2/MpV
CvYqEpHqDwH2y8uVXX3DahhvTZ/Tr8l+C13Nb5KEl7SZ7U9PTfam5Pfwm76j5WFMecEzjcorT6fy
Hrs2jTNpPF3T03dOgshXICEhy1JcNR4KT/4aNANPIRNcq6KezhMEyEx09n7ISybeUbqvy5J+87gZ
fsaIslpm3yWthschdqtNmZEmqXImZOPIG68C6VX5A/+gsWnvaHLgBUo38wczBb49Dj/56BWftvD9
bcZzxKBfuxuobfXW8Rr/WNR2+xi3yt734QgoOEo3Db7AvZPVwbcuLecQ2713dNvisNQhJjupMcK1
pq13edW7j73jkBwnf/4V4eM44+We/rTPbLwYly5lhrNtDnSB0mHJITn9WhDgoZcANMHA64cnVXQM
XTR95+V6nKzuEzpoOG8XSUfDrN3+AMfc2RbSDfY5vWeHFgcaj0lb3NE3N98QhycmhtmKYlwzMhWG
k1p+5pxEI4IR9bG+V4VP8B8lPgxMqNSWetyJy3DN+sHeCCb5n9Iy/b5Hd728TN46CigcHKa+vh4k
h6iCKp+vW9Ya8b5qouSgnHkPU6jY1zTBAvFsET8K2apnxt0OgWIe8MD8eecgX7fpBr/4HbppdMQq
vzzgE17eCbPKh7qZsa7ZaT6sO0K9w6oGeb/GilOsUW72fkPViCCDlpaOvNUUsPMNGWqHhU+Jw15Q
2rxzdRNjy1b+1VhyP9UBnpKpt8+U7GJDtf3Af6AJDcdC1Zt7etEQjuy0CtdFXbx1RFDeID6QBtd9
fzO5lL2in4td61/kM0A5Lb49CJmzf5d2vtxSboMR1RYIzLM+uCYggJNMa68LvPPsC4dBKgLr5kMv
q4XyuSOPrNiGxNqOvIx3MsLCEcikuuKgIpNIw9BrbXWXRUHfdevapZBTOMnTXNK4vs/s0TxJSW52
GhpWJ12k/dswCYC5Jrmk4r20pi0n7rxq3JpQkUrgBVA5I87GyVu1RU07zgSn3608tJ982SmyqN0y
PC8jpUUiKdzXzuSAzoik8FslA9tKfv+kDtQ2GMo8OXVmYgyZUiImvu8z5yxF8GXq8lOyflubxkEv
UEv1Q2tZvOd8aB5Y6U2MQ7F1U7pduPXi6VXlvFi1U9UAF9K22fvGH9d5aR7SpgxuWh/a4UpxHVCr
KOV6s4onPzvbRV8fA7sPf+Ai3FHFhrGdTQ4DWTzfSVbsW4Ogv3YG+osuwgmN6M0+Nbk6SrOgTc3N
Il+kqPx3H7ywPaS8SRKdnYMOvCzBB9B24Fmym9j48xfmbYhThbF/40qwuA9E/p3GnpNLf1E3rcVu
5zod2U3ytdIDmWYQD44YtpY7mAOj9/w7DfPqrhh8cejGsdv2dgX5E1Ax4Qx4M2NI98Xq4vFgklr8
RDAOBxZEoTxbsKNyabmnq4RCHZ81KX3o/7NW+O8AvPFbeWzs/+9rhYfPHEJ3+ln/o23g7z/1t22A
PX8gMQDgQQLQdPEG/LVTkNEfHqkUITEB4BFE2f9fOwXX/gP2WfR/RHe7f3C1QDPwXVBw7Aj8f2en
gInsX1wDjsB7gNKDeyBw+dj/i7cMScBYtaXIitDfXO6t2NCLJkqfPTCRc3lksEa5Hi5bBrxvl+hp
J8VSbyqrqG6GnvJIXutJSKaowE/mGvdKdlEB/mOmtoo8IBkjyqn8Gn+uroS+Yre600HujsRFgknt
ESrYYY/4nbdJ4ltEvDMPtk4/sUAAsyqPoGTbnj1wVbV7OefF+5IZA3XNvWSEQiLmPQGECqnMruPk
yoSj/KK2Qm+ZF6a9GaMQ+ieVUB3XnS1TTsFJDIq6JZ/8MIq2+zWSJ+MKRrvjM/Ro+VXhUMYnlCTE
PAW9qyv85SnWZ29Ivkc7yF/J8SDY4krHwd4SxwGZNFbmccB5tWcc6MWVHXT6fZ7beEOJqXknu2im
1cR8cJPNQ29vKsKK6GC1Yt4tBGzkTaksCjZlnsCNBkbWx6uxdwgdJDUBrwr2JaeRoyNCSo6bfNp1
yKs7a+ZLJKQgywk3gleP9Bz/nWMir1dqSuGRe1FtnYbBxcY/VqNeNhavBPccjvNQ7weCcuTm2Jys
EXr1q9YKsAey+8A3UJQeXG/TV7sur/MvV+niasm99q4kP/idOo555kXCMoMePzpsJtPVpxY9qFm5
7WS2MRCFl2qocX0vYUMVtY/pAXp4hyBkL9p/SQlXvnRdSx14t0Sw4oEDNA+OJEa05V9gXsZJlXc1
udD7whlyrPAzNJg0U8PetU3ylicm8C+o1CwIGT61wToS6OVVI8n3J0mxAf2MmbGcnbbSWRwsb8w/
/WGE9xk11AmdHbL3jDu9XfM7cyizrDBzcWMc834bh3ImNeEhdmDcGEjisPblUgIkanjRUrL80eVk
3oG8hld5FkXAOyJyRNtRxVXLAwsNdI09mvpFVuS1u5+qpofTN+WX/uqOEvSN3VikfdlHX+FoEPd6
mMLnIh98BNqUv9Ui8kLtMsHmuzhXbvlA9WRD8J41e9ZJ987hrX8GsZD2+5I7LhBTcO0kx3VxDgIq
fTZOA4qWWTTYOHUFGqXXLo75eCa6ZRsA8D0bl21UN/I9SnInXFUOazVcnBZBjnbU0bR24VLsZCf6
I+l/le8auI87u7G1wiBhuTN17Cp5QKhFjuzSPHqzucq+EjsNv+QYeudgGtn92BZfPJ9w7HlN+KpH
LjLrxp281awc7zPw0dRvQUA0ksvdBAE6MqW+heJLcr3Q2jv1o0cyd6ELK8d52uo3H3PMV5onZOnK
gJq8fc85kO9EsWj3AA5n9iHU2PzNsT3i6IDRFKTnrk0wMzVZwMCc4vEC8Yv9gSmV7jx7S6hvqFZc
LfE1YNeAWtCK/oL0dS7ZHxCSBKlsNbM3ZWOC6McD+9l4VoaOSL/rQURp+T3DEtvlmE+uaj7h+MuZ
Fn5xX2pu0N38vbHtBcgW14+ViF3vV8+95ZYGQumd0UOy/ibRzfhhLZRw5TU4MC6w0VXo5MkzTxSz
dhXxVNb90ux4mczvkJ3KGwJl9rTu2W0EuCoSsfdpc4mYLsdfee+ZfZAMdGeDPKNP2BRmo3NHD2ca
tEZ5lZRyeeSw8aunggTdZ5hb4Q1CXc1fEHS0HyZt8ZaxodWUAYcBMktZWa8dy9Mb+Ev2bz2lCyir
nB6UVac6AqR8vq9sWzTfJDEil7M9E1wlHU7HFyr1ciDZOM6snR4HknUepfT9lm2uDSmhXlxx3Qez
OgT0nzyFsUO7qzMhAFaaT4oHzL/eDvRLn10/+0iUU8GYyGggEa3+JL3aPupp9DC4ghtjLLQePY6z
ao0KFYD6on61WCHNii3ujvHTjwzZi8yAYYwKS0DyghyKtK78Y4Bd803hkWm3pHDDrdO6TQ0DSXnZ
o+1VxO6JSGcvHdrTJQUeljv4ge6xMIJmX26vZG2xzjjfOm6DW+Bm7selb/ZOQOPZuZ3RL2UCquOu
ShVsMSUSXxLimOqPnFphdgLSuLiqWzYDWrJsyPompOGxi8x6HGmsfkrw1P+m/UFUG9J1HfK2R6ev
GgY6W8k4Ya6yqkZBg4n9EZYXtQsIp6zIfGJYHYzz+I72ssXG1YNsvglVwKnlWY58HShJ5sVdxGhv
Nln+KiJvE8XUzVO7QfufEIdEj+lTU132cU44gjUIfXLUSr+TVJpi8u+0ia9Y0BHZunwOAWGUQX3l
j717C//tgYCx2QDPeG2IIKNUXFZnuUJ8yvz4nCEg1OBtvG+T5iT30ijkZoZcqcaWEO6ckSxXFBN1
wY9vsi+VeBZXalxuKk4wtNMuwH3OT4z3qgqKOrdNy0m8Sv0hojK78Sb36Ekf2NHsoTcdJy9GtfWt
Bg+6a0l/5D4xkx1KglIvO9OHhK1NGn43TdcgpTvKeUnJuCyr1oZ/cpiKMjQ3C4/PN1Ws9MRPI6OO
l5aV2tgI5KxM85kyQzs/FIDat2Ls8MGn5XjWRoUbDCc470s3y4+NKu1tSsHxQ+GDcPcJ3G5wqRGC
pvb7d3hJhJWhO2zMMg9fVkeHc7FIL9tMNK3TEuvH8ob8AY0c0VRzq2fHz367Z/tMmX1jWc/ETEo6
yacxa9ZhoSHjiy4bl5suBGy5rXhgkg1FJel84Ta4DlvxxBzbzAI1hQBLRgAnd7NtHO2+iQtf/hhR
YP8TdjHsGFmyNPHIFx4rwkfumhNhRDwydni7LPQBYDnoo+tpabGCK0GCXzk0CFXt4CLF9yBu4jFV
X61Q1L2wNZ4/bBGonP5DVDSofyHynk7iJdjX0qmoFbCxsR4TWcIkmakH2BT8lK/xRggXeph7WfgY
eSpIw6xb0bCqahBqXxiiyCDAVRe/hm7u3zTtrqcSvS3d1CLkjsxLydwkfYT4VUa9TSiYsLfD9tDJ
b3XAHWrlSl9tWklB+8YpVC+vxgTpyAdnjsjGYbfDgH55+y1BRzjHEMZYCZpirv2Sj+naUJWDvoda
N8EEfnERXoK1D63mGFpB8EbMXpMXoIYAlBzl3huayUhB6YwveZU1wZzdopgm1yYfeuoVkXU+fRl1
96KtJDSyPmjRcaWC7DMubAsqLXhO2DXyPQMLsXfjkG96Cj0BkqfZtLIYTO99mmLPZNjQsePUoSiF
Y9yn1p6pmCODumXkgrrotmHqhdUr4djmR/QVK7BCzRwXCZaXfourZ2n3sVblJ4NC/IBNd06uwrYF
ZtV0aiaCB6S/wuaW0XQCBVOYFQf0rDbQsNRLEXvOeHGZqFvdzPEZEgP+D6fsfyrtOw9TMUJpI0hf
3qeLsZ5R86IXQZfCXoxR9AOmwH6eqd45h75vvc/4BuGCdvlyPzW5fuf8ZVzwOiW8dRUOZMtrCBKr
iQ3m0a6T+bXJZpYcmnfMq8SLo1hZe+iUSWnnxR6qe8BtO3JLeHP4GEsmZbvwjrZVMsUMGdWPkLTC
6iQDYIb4WlL3iPtFlrvOLnBiyZS3G5H+tJv3sZsm2WlRsjj72psB2XoOOassBxe/0VEZ/R7J0v0a
+jDsLhvHWmwH7lIvsKXTdC3TCeD93qYJ8GJ87FPvRIMs4VTXytt85yOQQKlx6iayPhtChoc5F+Vl
XbyUfg7DkEUpvRMj150NzrUmfEOEccIHv2Eu2Uc8adg9MJr6+Dpi/enjhR5mXBW7SYEcwGAcbBPh
Ndbe1J6ko0UKHszFCqsrBN7WrFntj+7N0iYMrFCiqNQM/SesGd1yKuIZV0XETHAHpXOpUfSWiJoJ
NncW3Kdq0uWWTZreAmizpQv9ZyQdShM7yTn8WrAbu+t0aRiPWuzjeGcdYro3Kscle/KdYUxvwynQ
8lZmcTwd8iFTGOD8+h7DZmddhT4zCcoXrt191M2+uxvMkmZHn5Vp/pYlbV8d/D4mRdgWdLZ/VAsi
dMRySJLUgy32gZZcx6vAJE7AkKRcolRDNgmE+3EYGDN79vRrR5DYTdHjhf3hynFQ6171eF/pb7/E
hfw5uuL13U2HInSoWKIjpN8KqssPjS2KvUrYdzEGSvOY1qq6dGbJ3N6lfYuztGZDlV83XjAF6wXi
q9qqgtYf1rSjtVHJJPczScgYqwkGCxjEIe8u+IhBfKpJznUkEJUg1sKboSq29LOXw7u5hFLbzszV
dYlNMVhjlPXZ7bJPDtsTudY5OgB1gVSk/CpIX3hJyeFix64Zc+xpuhonF0Q7noNhrJ6JQHr5F4nt
sblPtJqp7mgv6+sO3DkF23K8y7uItDHDnbfqsSkGm4Fvh6UkaZbl4CRhMJ5Ty1vKbRj7gbcinKl2
AStI7Bxhb52zqniPcitmIgfgRB8J5vbKi9sPQs4RywF7ucvZ3eVsJPSmz4DDc3xPpbhEpPN9YWSb
brKYYmyhKl5TdWrFvxHzLHEE5cTNCIkBd4cq0/nXnGCSOA4T9RrM9iMLlW7Uj0CB2VBKiClcL+fq
OLqd5WGxLh90MnA20WVdnBPDJ5apJaalOQ5RxQm+J+PXEIRUWJAfwZzSyJ795MxVGBLv0LNTgmOW
vAwJvTHkZhfK5ssscW5nYE7immAEfA3+NIAtrx5tyFAUZmCeq1LjrFUPTc8kLBI6jn4EQGT+ZxZP
3JgKmp0/K0vWRwsdc13KIL4K2nK4GEEXR67KxGdDv1S+ewu1z33ossa7NPxVMDhne/lyHX4ccpIX
LqtRT/zko4MXJbj1VRM4zXZahmNr1+YzGezkBeCbep27ROV7h0T5CctkgNklmimbCWGbJcUIMazA
egEpuwH7zRbGb9lBdrlFoZHWHeeSS+JkZ/GNsUwuojNNuYRmsTWiLdVhDKix5bK/GfpYdhvlZ3js
sbHY42bSYcyJ3UXyLyL1/zPT9OUv+vUPjYZ//8X//5sH/2vtco1s+Z0ln336j+LlX52Flz/5t34p
CTfhiib9Cn6BqB/R2L9N0fKPANv1xSf2n8rm355o9MuAmNQlGgglPvpT2vzbE83/hdhIExhpTGJ8
Nkm+f6OVwuEv/6dcLibt6M/uC/4V6KL/2jzImhC8TpXPezn1+D67JnjrAie5DgWMgBUmSIPz0f6C
+9//hL1bf0x6mNdyTFO9BePRbIOx6beQXaK3njPtxDsz2TgwBL75tOjX/1HR/1sqOnr1f6mi335n
Q/pPvnzx1x/525cf/EFsnF8v8jSGtD8fp78ewdD5w7P5H/RUii55Osnk/W9fPnu5i/k+wASDcR+z
/H/68oM/sE/x8IHVv0SD/ejfeQaDi8P/nx5CillC6hDwf4YULMh/7W/ORtmFFLgtu7ZsSKpAlSBO
3BvQCGnQU5saDNFOt068xeYAc4hLQnxFuWu5i3Efnos8d7axwZ28GbEuMte3iV4JoQLUl3gK+j3B
0f7aOFkaoF4qs02UCh0yYFN/4ujt3ha6rjdasOhkSmS5VOT9QdMhvh0HDSypS+rbjHewAhqjxmjj
ux5qZoUXE31r9hDFQDKyKhNh6Z0zk8XYR1qIHDFX+esp74tuxSoNFEkVGesnHjTtUjQQRl+onnRR
2VN43fh5dmp0RHSpKpaGQcxFWbBDHMHEmYYaT1QAEqTP+nGAE8rlc0RXfgHV/z4tdnZNy9ETfCL8
mUk1HrEl9J/cr9OzJ0j1xL2Sj3Lxyms7ywWaPqgXws3pCj8SNAmq7PGK2Udl9SWwwXrZRvzotg7L
X2YdpHS7TqeHnl0qObHwOmQPfsa6kq2TofhmMXyxBeB9RNTIiYSz1fODcf4AqCSvGJTwzi22BUsK
HPFIXJ3z7lQ0WU7RmO1y4xt0y/K6gZJ9tlRCCJ8f2gUoUzpcEVoDIBQLQxA+O8li38l5MA8RRqsI
61cmANohwt0WrpnJalRi+GyCdOqOEwiRs0y4EK7sZqKxPawu7okuxCZZ9TmAqKl1aIEucIQAHAk8
jc2/TSLY2olw16AvvHBXs5s8DWbI13FLEIyIVQh3P9FVlu2kN7gbMV2ALNEgbjIycR/WqMUuHqZ6
j8mtuXxLI3jlJAqfWzX4W1+FBq5dNd4qOCv8Kgl9cdkxoa/QvfrxEXZdmoMLcsWr9if50rQOnrF2
6p37S9HGrRQeIQ6m7+ag/aA8VJEHaXnS4/yqwMJ9EcnL76E7uVvXSpNum2cz98qJb2nc4Uamp28u
ueKDT8weUgJuB0Z++yCLxOwoygNLEhdjc+ja4MInKhVBiEfmdr32p3EXWOkLxSFm3RTzeKMVP2Mw
j/m7YVFz5zdcrHyPxGmI404Z54bUgYP+bBbyjqV7nQMq2Emrb9YUQ3fXUQk+cV/6vuJTPZt0z6qK
G/bMFo0wI3gENsxEKhdgS8bfeEQ0f5g835Hx+6ucasXrCVXvmLQTLp0c7eCg2QEQ/TTNpb8tRFcV
TnybD4PVr8j+12dNL3u8E5OTwXmxs+AeYM3wAjsxVWuDbex6iJz+zQgP+rPTk2RfBSxdzn4ba3Oc
QjHoIxBeiVcMWuP8QbYncx+HkBK2wa+bb8ZnTCVrxl7ZXjGez1EP61tnzquVpMbQ23lZteTJiI7Y
uB6wYFfGcXR14RvmG3/GkUeRJASESQdcjjOLL48jb5yfCXI6G1+r6tURxqtOXGc7JIbiQtshW4dj
SnNM4+50gQsGvi5fcepMex31FtljT77ojjI1x1XDjTXZ9XPZ+3A4sdOi6Yalsb+DIA/2A7616140
pAIZ9nejyuNLU+3i3jaOmb9qEiDvZW9YRvbKPxg+RZywbbILc9U+TZkg9MOtwp/NuvS65jsZVXO/
eDL+yS3Q/QVrpe8eSwxmDJsvjJMR8GLpLkjsYBX94SnDdxuSbR3CZK0AUJuHeehwuAcDcJoddsTF
A3AOcO7C45+2GcxNeYiFgfRX6amCLYSvThwrEqiUa4psgsFdJMtTrj0BTCZFFkNcvUBmgDsBnBFE
puhVHaLi2viNxeslcXct8JQaQzzVP1gRm/0cNcvajliO4pG5LQEGXiFuJmvLM8bgo0yWFQY6Pq/T
0J60zJHz9QWWMxtTXWPqnp79rEuu1J9UncUT7Yfu+XbWfcFHYjVMpiVBoDv3nAAYX6AXXgA91Z+w
nuJPcA8tMvMvG9F1Xo3FHH2lnQWRus2zqV61AUhepCG7jvZs01wB/GdGJ4SFg7WmwNPxAPRuQKcs
IdGcY0kCaCO1TtgTcsBnt0Fj9+eJMozmmC+td5xa4U3X4NGng+tLPgWDVZ1JpgDAiFmyr6zcGHqF
OSYxoqiHwGiaJsre/uzU8uDhSr+kq2P9aJvCgzxvXQITKu9ZIEA8Ah6Es1l+9slsl5uiNfK1176O
1vA18+RQ4G/D5NtJeI+05SAv2U2u1vY8zT8JLdzP7GWmRxUl2P2acVaP0rWjc8dneGUs4T04Q+e9
WkNUnTmwvdOAOI0vr0820zRfL1EJkpiNAG48nxUs2DKh+MD+ib78pnyTWBNqDBqXWGCY32RpNVjr
il8lO2HcSvNu6OF17b3Sc38zOM2IBug4872bUADqp+54+ep2eC6cSib7DCDSc24wOe/wDKgWiyFm
vi0YOnVrBbqMoVuJ6LUto+rg4CttWHzYHQXIljOCWrNi1FmZMq+taGQq/M1QDPyiKUzLq1ssBKna
huNQvuOstm/7HPMNoWUtISnBX2WGiAy5XZT4966C0KHFQn82QrC7xhkwPA7E0D5JYcJL8vUQkEBP
Eg4aG44G5lmB9wkTWnXLd92d4hSq7EG2OD2B9+vhZ6BB191UyZQQ3w257ByaWUF0YTEapGtSvEC7
UzvlwJaLYw3rHPXgOjA27gWQoZL8g++039yGKLekYac5ESEBLuxN3S+SpOWBrWDwS3sX6Tw0VDiu
iWn6NDX71bJtm47NOiGd5B1UXX/lE8h6hX3D4tyeAZuNTvMcTh11LOWAIrCF9+ifq37It3k15hpK
Qv1te+yU/Snu3xb29see6jI+WFgAb0xBgIANZaVWccOer8JFSnU2Dm9qgFD+7zAILXzkY2VhR3Mp
Jlnl+CPeM130epXAWnEgOojpbU4rwQKnYO24tUKPPmcvTJ61kemPRgqrSNFTL7ltdLNgr1tqHj2T
VB0s+p51TSL0gKVt8OBxOS5ss1jkl+SKjl+wxNaY3VhW95Jujpa11NqqSJgvc7pnID0UdgHUqs/z
eocri5ogm8oaBEpFyC6cIH4j427tAV8+lpBieJ2yCBgtesWa9z7nScFTeUpCNz6opGyvGrJVT10M
GK9kfbpxHc+8R50sobSyLv1KUCcyykVT95epLujecQsUeHnHCPwzkr9aWYQlgQWI0VmFl8TkyptD
NvNsIRpqOyr2jAUwyf0MJmLeWmgzbygxxn69xLlAvBrXv8N4HR4X4As9hNGy7A4JcrKzmiItqCyE
BPjVJr7BVswBsZm8Bl8CZnprJBcStQdKZ9y14h1wNLTtPTRRNr3EylwgSqWYcLcyZcIQPkPBSS0W
sKxxDtZQhYb4bQ2CuBbR9BQW5cXh0PGPdoOi+gochgSRFZ6/qcbC+ulZGDJ1CsnXNmF/zwlkC5KG
bkuCAaTnnd1OETx8snwbQUXgXZHX/SP3eR9AvoS/ywal7j5kFmCVG1oaLTYMaPM7ldftL0KJfDow
AXfRmQ8eg2EGm/Qzknp48p3RvdKeK+4q4wzPoRvSZeC2mkWMm8iZ92xC2fKIyX3vicYceHqmdFel
tv722ENkh2bJojPrFJhqdoOPYwUzJIw4cd163OQDDkVhi/RQUviUrKwhSFhhgXabeVS6ValLfoGq
cRXs59pyPqNw0CdHTlBxySXTNx9eRrBRJcwD1SJoWbIBY66YCamZjObhao4lG34iJcQjFhzY0T6t
veqHQyL/zKcpuC5DO3c3M56YLT+z/2DvTJbrVs5s/SoVd44T6DIBDO6g9gZ2T3KzpzRBUBKJvm8S
wNPfD6zjuDquKoc998gOWxIpChv55/rX+pZebamQYo3bGxTjTWwRQuIQ1UsHRPbMh9Wm9VVpAB8t
42TgWdm4VkZ/nxgAR9IN4ZO/MA0/cTzA9YZMLZzcyxw9pzRP/Yq8mo92C1vlx0Qd3qWtKQndOIk7
FQjWrfEDnEft41WN4G3DTK1n7o2EceqArOYZIRzKwYKPHgZDfmelS3mtHElT0qghV0J+4MVSV+lR
gXljdYWn2Mt1Z1O5g/gOUmX5MeVNkSNmztGKhEjZ6VXw66c8ehwKA9oSJcCPiYq4/9FI3NyOdR2q
vUnavN9KxyQ0zgeLPRq5bfKySdueTT4WwVQgTWMdOSiXoaAsHwksIfDG/L3vqTF3iZrXFgwOx3PO
c4TPfMt2NX/pYis+TJRfxH7LsnA1oXbxL8JLDIvYOIJGOAUlcNYS7URRUntEWv4qMXkcc/4Bnjwx
5o+8L5pLZPHXYDIySDBnqy6uOHBnjAJPxCFOkn/QkOvXNyflbTt5dvTYVMvzbybC639F+n9Hvjl/
ryh4NK16AmCQTkmkXGWN34P+rsUP1sI5v89aI72vFRZSO5aGv5SGc0qWnJBsOcX+P/6if6+lSYyA
oAVQ1KAbmYaFZPP7FzUTo1pCJ6O3JY7yC1NGfyUqDn9WJwBfL+2w40omEcxV8/GPv/LKLfgL12C1
IDLq68R9kBntvzMh1kIAKiu6ZQ87xWLUcYBATpXUzu1sQWvMvbD89W8p7p+R4v5Ud/kB/++eVv8j
j5P/QRLmN/0pCUPC4uk0hESQs9b//E0Shgpu4SU1PJMimZWg8Tc9zkVHBntM8doXQMPECPunHme6
qHjAMzw2fgYPgfiXmoo9/qC/PE3ISg56tW1Iiy0TsuBfn+OkFHXBt8dVs42XedOopn8amAne4rEf
76xJPQ1aqz2U3CszuuRgEYDCiKjJMPAbCZXm34qsHd9bMsLHMPOGgAub2FKpxMXM7nvSYIm4n6SO
+5wJZtOlqr7iDMg/Uil/oC9LH4SQFjQpE7+s7Opaeyp8Ii5VMZQb3atV2cV75crM18wZInGYZde5
Eg8Zkss5N0iDY1JSL1Yq9UCn0YXSLG9Y+yCrx6ry3rBTkaxW1COwq58CqWlqz4KGUkfCYn6HWxZX
ZvOI3yoO4rXNkReJ94DNl3KVoW8e7cLWgi4CfBspRjZ3vRUnYdbse91Tr+Y8iUNnhvmnF9blZQQE
+8OVBeLI3PU/BvAYXExNUqphKMeNLS3PZxnsJD7QKAZMmomN7xkDyVbakP/1xvUuypioHjQXTvht
1/TTd6tIEcpytgcJztVR/1aRAEWgQhIBWWK0qEujuBH9yI5sXi1krpZ357jB/7+1XKz6HMQVsuW/
Xwn/1CtBguv+R++D83tbvvfv2V8EeuO/ftefLwT3DyFM6eocW3/72P+5I7L/gL4pdGEBzxEAIv+/
yd3gUy+Yb3UbQYs7jcX/9TeB3vhDcAKxcDKh3KDUu/+KQL8eln85XQQvHlNIbh38Sayd/vo+kFyp
a6f3+kB0sLzK+U6G2SeGWaQiPoJhfz9W2Wdj46X57ad0/e+HOMfS339lue4ZBMRWiTJl/v1iIIqF
tcglH8Dxee1HaIMBGWzbbqHI4Xo4mvrCJSqBKWQxtBG1n7p6yo9wzJbbxICby5IEWSoj34Silbnu
W+XO1ZlWE5MkTzLDcOZmTORP72b3aufNhIqjj/HOEqFJD41V7Rc5Oict6gHDdAyL6GJEKvM5or5G
tncKI6gPS/And9PSHzLqAj2LdTN2g43TlA9zURTkanReMqZ+JqWlo/i26YNFYI4TmpzYrVFpxhUk
dXbrIFhiBJ1SdWu56RPKMV8vnKduz+usuJ9FFUD1uqRW2t2s64DNRAPCQowOpj2EvoTfrODDbAuS
+UiMmv3cO+jXW1Jk0R3zLxfnshBbg/DdxpQJV6Z6Zb+ZvUg3Fkmjl4SdxAOePvznC1mdKK/2hjKH
e4Bcth/i/3rrdbbvrKdtbTcvGaY6a9TcO6V1/Wc4md60wVGDSBalvferr3k7BrOCeYFLTH/G3wVU
MDJ5xvywtuKHjoIQgOX2nJX0rkXwAKjLUXtXd+OzSajhrIRWXgBFtNh2hLydksK+05OFKgUYMuLa
QDbkLdnpl6QjQD7UU3mdECiG7QJ8GzGvcXqsRgVpXubmcl/Zw3QZU7ffIXOW27RNvR3kpeVMNUb9
3JQY4LdN3WmRzylMJxpsH9/siT0QllW1th9cwrdXFgTIA7ENgp3nYOhZOpVNsbW72iMlUA32gU0c
MdsqxrJc5Cabn03osHEi2k9mflPn7nzHr1MNsn9pfAjNERCQhpEeORTxK1CUztjq3CDEdmhluhWG
1h+HbiS675ZVOu6jkXqlTcdAsLdjB8mnYgfzIubRQRFIZxn6csSEE+KYdDcSGSQlplzPx7CgGBOf
mqhvhiHuv1N7zIMEkfAt0qv4I+yd+ic/meShy0rvzskE0b1mhuwRJMRJ31DH15XRkEQ7My2paGU3
PV6luTZdL2ZsHOBRedwJ6Zf5rlh/neSSymkb2iOyVzKmMVcxy5gDE9jTLu3y+dGsFuuhNFwQOwpa
w8IR2MDNWrxx+tkURPQQzVV9P4aG971zq/i1TfjpBbbbViwRcvrxXC+SL1wMKQYdBto8yLRP79h4
u2eQJVx5zLKV7zSqgOiqHc5vrvBMIlD/4Ds2RmN8aNhfH+O+Ll5GkYb3mIidt3JYWwDp/sDtYiqC
2VFI0ABG9cg9eyAt8FjJhoKleVhlLdr5KJBJJeXCHQK0tUuo7035uZNY9eXkmEwfrOKCWDfdPSIz
m0MuYnTrUsl9oKyV8tU4i9uHVo0NfJlIz88LMTiDzWLIWyTjlg4mIVcabXNzV9AP4GYv0IS4WlJg
BkVGwn/+qeNdpcaExcphaTSCL7C0nZk3obnaS5KVGjMUCAQ4ntKrVuTxlfWoGMDjCAcCDgW990nl
Wi/8k1IOVNNJip5SyyC0ZfsYDVYMm9FWgbBEcZ8Dr4H9gu95U8upebM6ThNeZhjrFUuH77zM+Rd1
6xJTc+cYIARwQ2pQycaIKrBoqomYo6FOKOgQ2RFqJr5Tre5PA+oFYoSbetqWmzuvhTEMwerDGxlv
FfrAS663LA7ZZKYdJligAQeMF+Y3Yi2j2EJmF3WgG1oJV2nW05vUM4erJtz62WUoY3YKUaoDIBr2
myqW+lcTLVh7ihjH+SbRPZyQvdlGy7bOsXUCbGnn6GiEmukAOLKyWzRVPb5WeqTigEW6dapGGcX7
Lrd67zRTx7Um2w0+XfS+JxKfTaq9IzhO4XaOwrZDlynDXVd2JE0VWtzOtpA1fcyjTKKhVWr2lgen
BZGFColmhhYGFE7pnt8AGxUbOQvqAl14ebRFt+5ApLUu+C3ucvLSsca764Y3PEntd2fU6GbMWudl
SNsCS8aYnZdU50WMwSw/yHjmBM3KYX4tMFTT5Ocm6pZOGLcMCvhGzws2aCgnJGkaLPa28wtGpnyc
MvzCCet7QKW1nlFDNDjt54y1/b5FJIi3SZmyMWcGpmdKGUDoa/yWUVW8llXUnqLMpcAzdTh2sCJH
EO3K5VyY0EQQxruzw0cvsPjOadJIb8lHhEQidIEXmkHqRxSK/NYOifkEgwqBCWVUZcK9r4WjHyBa
k4DLMDe969HsoA/KPpsvlZxRDEHjxK863mr+od18pflMk0sfs8HfjRqM+c1aLPnE67e+Ti29bZE+
zd8qzueLNKMJMZpd6DcgrWQyYHDilY50FM0tPc30nZh43Tysn9nCx1DTW8wxor/ajjaSaQ3Nq+50
4gPuiLZ1w2R5FnyQfnr4OO1tr8tkN1X53rQTmgrcqoeO0OZ9+2tJxoiweNM5Yut5mkCj66R5n9jN
wO2FjrsBE2RO8/rofBNDHH/CvijiLT5o3AhgPyjmHVJKgvF9T6w0jyRyRpJJEX0as0GhFKdLci8N
UMC8trjnkewf2iX3q77WwFE0Xebc6UTbmy1ivD0dSSJQogdXyMZRNgh/wt3LhwDla+q09L0xvfC2
GqtXSilwhrcsMKD0VtukAO6xYzCAGTX04OqBoNqrC8GKFY5cbN3bgra+Hct/Da4XPwkq46HLDbXG
/a0w3Z+N2VvnMsY7AgzIIE0YVl53aDBlIn4a37goNc/ZBLEOno2XHxxQy1HgmV3SbAyTIYHYr9N/
En9PCRsOzohfKRHug27JKCRHs5Lx3CwKqYqGG8Gn0wJdtlHKghsLxG4wAmC/azvSQKr5PIy2/apw
5WIjMMqSQYhVydbWOfZa+Inlxl1cjksOeOOzzUIK5Qzakt+SthzZYw/2hOEWq7Ovz8UYxMkcFRsn
Rue/QPGbT0mTaDSOtoNLAwYcm03W4v+rRdZ/t5rVJpCzwv4eadhSt1Y3p++TsngLeF8cSGPRjEfa
imz7EI2ojRxUi3pWmaJsc/7CE84hasSGRwBsITvLVWy0dOtB/wIb5koCOUQSayBOW2Vz7KXp/CpC
hNvJDreul+U+iCp6Rlc6ohjt+FVNJq1Y2sLEBvUZ+EtBtcmozy2wZvKjq6GWNAVU4p/zyl7UxZZ8
UIluqtH77S3uJurdYmcnAGQxgBJCWGq+2EptHFZ+YyQhORYY1WE6zn6RTOUhgk6XbuYU5GNaa1rA
QsPdmV2bB6usy5E7hleQEvAbnIFtqtsWP73FNF55Eq1PepvTAAbAGturHO9KFBEjQTwpjT8xdx4W
Y06qQO+9+FGbjeLGHBQ/Pz4UL5OteF3llrWUe9zw82tI38pT9wWxTBYxzdCMo86g+aAePj2mwZ82
W2Ssq18MzMoKyWcV3G4+LbcDabFoMSDMGqliU1HJdqNovQK88VX7ZPIUshZRZewbw6w+E43MT700
MJkWXiqbugzrARjODJUz/OImh2AYzQN7AFjPRDHmk72CPJcvpidwB7ALWUwBCRthK+YYK5v8tmCa
L3xiprh9cLW2QWTI5BFakfZQzUsULI5FWLAAorGlKdIJlMkOqPJSEkmiGZSOzVxqpywPMfJMcwKK
1Iml91SFRCg2Vojyv+GgzBsKayBrQblrYItFi2TJktQNE5IGC/hZOXb1bODc3tV4GWQwZLVOjG+K
x4DaX4/sgOjy13lwve5UwHr8APoHQrX5wqmWGnZFdHxgV+QpzOpFH6z8SWGV+mUWUXVQ8zzVxyHh
M1pyM6ZvzmpZK9hVpO+4xoo7YivU3lk4kryNGa1g12hlvHoYwcgmluxH/VGFrNFdG9MFx3DV3LfE
pEf8wDyGWLAWBmwEsGgLGFq/mg6lpeccFWjcUSCjPzkr4Uhp+QflT5OzojJiwGGGg/dhLDQW3kJG
EAnBw99W/cgIGaOPu6cEy+8pbEseuJBP/rFPRXvtLIKEoOZsMlc2DovNONXpPgGniy8lEqwBq/SX
dDracJGQjDO3ZHEv0/JsuITsVFMdC9Ncbqc4e44X9vo9ly88KGpPrUe+TyqtJyAAWEuZ8q7jA3CX
aAj9IHbYPeU2eRSH8aMF4xqjI/XZmgHkYoGb2I+HfNhMo9J3GViefdkY5b2y++Ja0BHl9wZTI4u0
uQ35MrOdXyqoc+AeuIvQusVwMaXyDom025VVfhg42LYp8yWOMnUtZau/0MROysbWobSzyX0twxFD
dQIIjsWgS7sIMTFiF3fs78iyU3cooaVN3hEnPwVR2BkiwLagBn0vbADfGRmppjZxl0Bv8/I2diH0
UdWq7G0VeiHSpFt+uJ2zb1y9+6xpPbxG49hv+rH0vpE0dk9ObBLkamT0y+UAZTFHjWOb04Ta24OO
T408gwj4EzPtunwFlSaLnAdHclc/FW2vH6ChQfxSGL2fLAobz3lYDvBdtfrgEHt5rp0m+x4OOigK
8gfaJ3j0svtuZVyDGAAS8OFlyFZ336aZghhjm5Pff8HME1rvf2kGhPPZgLC4Gb/A5+kXBB2AKED0
fGWjZ6nr3SMrA0w3VnY6DjO8cPEXUh2nEvQW8YVaz9Yzs/4CsIOT4UXlwmPJfGak7kTZOrvvnm/t
W/8FcZ++gO4TSBDi9l+gd/EFfa9Im0xbs+rsbFs7AzFia2XE9ystvv4Cx9uml82+27ne0ftCyxeN
6qKt9YWcV1YuP9wIDn2yEuk71albaIdk/XV9RdYPK72+/QLZ2yvTHlmgOvQr597+Qt5HX/h7QujK
x/wQwQeuu6qjlceBzZckIZfzFDaoCVPZ1C9DW9eHnLIpQg1ujOGjonz1JzEst9//Wx/9p/RRcnW/
CX+rq/8/Pr5+4+178fF//89/lr/i9v0/ru37r4/ur1b6r9/5p4fZ/sORwnOEB8IH2If1Fxs9kDyL
vQgkCH4R25Q/dyaG94chscvrhsFec0WH/E0gNf+gWnEtBvKEtCmG+lf0UWNdiPxFIF0d+Yij6K10
xAq5LlR+axiSBEdGY0h7MAGR6h5jJJGnxdHK2hf4v+5sJ3Y5+4yq2ZX6VO1svU+DvI+E/9uP7X/Q
SwkbrSvG378Tvg3Wj5BIhIXoCd7kr9+JLkbJWOWZJE+77oWM1uCH0guPY1SYT0OWeJeJa/tCcLQI
qwk6w0Aij12LkbK14H9KdtS5VfuKatfvAFxpS2JYRehievULbmFXgvzhcTEZZWfPG27jFMcUfhiB
nwQO7H3ctZz1YM2PlKK32Ie1BY9llIeB1mbKt4SDP4GcPF6hgZZrkyN610sQYKk740kYMm58nglC
KuXXEzwcJuNIjmV6r7QSc0Vq32KO1A6uTAWW3a633nWh5zcCsYZXU0MIGbJUc54kSW45Tz8sq19+
4fQUTx4Pwb6arRHQl+quVBYyKqdxljAiqOpH77jdcZBje4df0DjpFQ3pMnaHnYRbdY2kFfp2iV0F
Z8IpryC2wrojNCqjZ3ZfJIVTwFlbOzXkmzGE3raSuvkc0y+Cbz2zjuhl9JTCYbw0caTt+CX6HsKp
9CsVt4eOAq5LpFnqOLrC8Ns5x3wcUbLBne8891pyuxZXBLVq6gDPID2U5JGt3ewoERCvJ4IsZP8k
Gr2mrrWyfCdq4se8VOKNSS4MYDWuLhodtFRnLfzVGogu3H4KqambCLP706Am7ZWt9Lhj6IDIYHP0
t5UJcrGCVGYt7firKVI3IBRX3oMxY5IOpTbcqLpoT0lk2T6X9F03qRtcwAe31M5uE6OYT1BNR925
c3BNzcyjkbHFrL43C7JfmmhF4KA07jOLfrquk7AR43mVJzSfC0S27diwdbIjB5kQw4rDhuG+K31V
tMnB4h7i133b3NZZ1r8ladQz0/QV0m/05UvRfjgLyz13LOfbghpHAJg8TwmP1Y7CviyoYVas/03+
itre2+PHjF4XwvrlBtPIfBPZ2KIo7DXuwX0YV8IA051eQzht6nFiPclJW3ikAnJ4w3ExLPsahfc+
z4Xc57m93Nt9mAbNosHxsSQGFrkk12xOyjvg01EAYkxQJJIC52lI2oq4iXz0O3wjDBaHStX1S15a
9IIkqBllnsVU0RefFraCwFBe8cQihNF7pluSP4MutriRh5FtwGWKJ/tYYTXfl2VkgnfExkoEDmg2
ApwXtJHubqcprP02wnXcIm4HGeoJsAvqAjsonq3YDZYYHV4Rks8aEBYfFzbgx7KYi0MKleE0x4R8
B2uSd0mnWQ/jpCAHdbdTvZAZHStBQMCe9+sJy2JTGjeRG995vGQCmtnu9IFKSsK520gvh/OIX+fn
DBnlk9oauk+g3cP9W0JmGaXfcRtp3iLe+gcLYOSpHcf6pmTGPC7lKHZkwJlZ+bbX0t7wIaL/9t2s
12bWlH1sr4bhZ8tG54E3s4uIUbXfTQLjgKbTcItqjGRSJwPkBEHPT3Z0bbGdePiJ/KMkz3vBzUv5
MUte7qiwjnZhzCgFFMGtb0kXKpY9mMxuAE5Eftxq6Q57t7XFvIwUEIYRekzZOgzXjW5REIXaQAOj
pSiaS8IXy9bgNxcJBmNTAH3f1HjQYfQmbGK+FYY73GsmvVMrhrl96RoclBlBdlDBaHkcfjQHWPG8
450279Ggy5Oai/hbbZQjpuYIEB1Ve3DcJsvLdkutyoiGVagdl7jOxMmhP9XGLOZ9zBnW/2Ndlk2g
hr48uXkn3uzE6w9QiAobfRojCTsRuecehVaLDbj+TPD/12yH2v4Tu/aqwS79G16B4VDL6o6s6Gsz
qe5QajqudJxubCySAvjDCijdzJL1AHkQ+1vurN2nMo6qN7to86OXknr3dOUcQ5W4W7Zm5TE2Q5Wz
4Iente1ZFF2prxiNfREqRCmZzqN3qYvQyD4kPtHhwaDj6DGqUe52CFn1e8dH4T0MzfKlymPtBvt+
SQtHxQEdGC1frfAQSerUbjUOqdB+Yd5/ywpPO+OomsIziMJ2SzcXsF0BlXyrJ5YiGLI+/4Sg2VpM
buH6aVl22wmw5acxm+JhNQ+7R+WkeXoPWKQ69o6RPA5tw0hgsILESdmY4nYsvOYzKmi+QAly5GvZ
TNbPGa/Wsa9h3czEoc4w1N0Pr3Cwo4cmNAwN3fcSpvYUb+DpNo9mLORNOfFTzTLMTMTp7Y3dacBC
MlKf3+jSah5s3taPc9E0h7TUKBLrIlOQ245BF9KVON1YS2gd1jKSwOmYXUB7OEz3ysEIpufuXWeE
TnoaswfNG112pkjuNoD6gEKFkAna0xv9lW1f8k0JDA2btk6WjkVF1FtBUmFwk3rclHeQKNO1v7tE
Eeow9gW5obXIFKwB743SggtqaNF9rIR6y9vaeLY0ZT1WQGpOntGJnWlNFV3nWvRcSi+GttUhPMuR
P4JZS6W+VSKY51Oi9g01EFCpSBIwpWn3YjbZXjYDhSRqqT6cdenkjpqGj4Lyjed2wn7tZyyGVo4Y
IIs5K8w+WJYZkXuJR/akUFkoVQWk46soOoZdNf3ASqgIYs/xa2QW3Q1qSbFF0yFKVthgPPgBAw3g
/CzSZqt5k3uM2XLcQXqQSGhg2LaWXmjMYu4e5lJOU1yBdNZtM3ar05kVpWajNqnBPDjE7tWpq9L4
xDhDI5lpYCFjbJBPNpG0aQs8pFTw5BzjSp5gYfGLLE9wDC5y2lrtA79rJ9I52bfD6h2h2Z6uK905
4yWk/qNCf/TLru3e6lCyY07FfDRSs9+FGbIGrnZvVzZC22AryfdhtUR3YH7Errd5Ru24dS+SDDyN
9YjMCVls+yPWj1Nbvkl9eCeUvkmt7GQ6by3Jd6oBRngyMIy6H8yX1a5nQ0Kt5DRj4Y7n5pq3bJOg
5+SZD+PAveW6LfEG62QqsL97e1cjJEPMOccxI+wDbeRyL/TEBcwlx+a2SnjZumJAhBuKGka2bszX
btLN6lRVi7iRXjFeYxGTBRpZcp+BhGdP4wCZysx1fS+w0x/TTqRXEq1WF6R1NX+MZpE7Wyjy6avb
e6FfaqTzfC/tHGtLqwkGa0XLShFUxZrPm2AfpyGcIGw31Sic+Oh2LA5w6CgwIRSyHcSk0OGrtt5J
vLiX0hn021Q50AbUkL1MVWwRBI8AFKQKmejghWFDGYubUgNjusPaPy8O/JWB3lORexit0fjBsskC
j73yL1vATY+8bWLBgzsMNXp2EvptD+95DMdTRqFoizEBD3MeMPTU+wj98KKEIJYx5OxbVAgVbpS9
dnJTBH1L8+4aTP2oo4uZfwylE91lvBU5/VHAiGXa3B7A1kEYs/XyxqFsZdNpo/5S64l35YBrzpWu
7DPLi36H7X7Y2RMrtHSqwk9k/zzIDMu5m9ABGKCdIWHH5Ri8RWvtRZML7xA42uFEjXyp77O66AIn
F83DoiTCztSb1m2LZXibeMv0LlIqSKjFtvfAmnVg8oKxDBg/eLkOfzbrMRnR1+IIo+bkjEhfiIVA
laFuw5ahIFHW2eJfKEjnzAlGjKnPtenYgeSg2eR1Q0V8Ejo3Mxa3F2NobxsTPDO8726fV2YH84PL
Dd2NUXaWLNt4kZj5cKi4Y/heFJvU9Ij53p4EOKi8POdV/izN4gOB7a4fASdn2Jm3zZTpyNelOmoJ
yKwWBm9FcocGmH65y0mg/BzndrirmL4Q1OEzxksWH6QbqZNj/MgANPR9b6PB0U0fUQhBdjLmLrUo
fyWX7QwOpIhulDlOt0kUUXg10BFoIobFWOPFKZ7lBdTsOVsSeRM5NNTQ+MRuMEX02S61gMlrjBoj
Y4HuBS9/043qqebDtAMOXm3hI9coxVlC5eCY3UczE23YRvbZ7Qf73jYK9zTqNbKugYznaG6yD/m0
n4fZoe/cqlqWJyslg8eQYteZRwP+MZsoMR3CXEq8u8nJzXowLuAq3Ri47cgzPW9VSVyXqSM5ga1N
t62Z4sU2BcVSkrMJYnI1AKsoAMppqUUPgGjXtC4LLHIcB5vOlUZnhljs0d1iysISIdP8GC4F7z9k
oBcjpAN7G9O4EtBSrJ0JU3pvuqjtfRfOxmvrMrJ7TZSf6mkZfEMjLZ9rwg6E8igPGlPzOx4q65Vg
Vk02SqZHdnvjS1aG1dEqa+3BGAe8ikuT8a4EpwSuoo0vLSGEG0odUSgZ2n4ahsEV2qjZhVHY+MsC
fEzorL9MTXruilD4kHt+6BNnHyTBRcvwiiTaU5MO2hlLJIt5mhwOGl6M42QO3g07Hu/RBYXol1GT
biuDAXZ0SivoKF3zhVNf9Lg0sAZVvtRp+bBsbpF6ASVkypgTyvaduDVVGJoV4nRptWNnmYcpW7ST
TosAxaKqv8Ug1p2gokHJiTG7swYhFX1bma+NPt0MmR7ArdiZvfyWxequVLpxoAP00YX7HmkFTqn2
AGRgPZbwfYRGNW4ZDV/byHsrCs83x+S9RdjY5qSp/YienYd0GoqD1yMIcsyUFztTJs9xWx09N4Nu
FBcnoGbLWbaxFjjCJTALaRSzESSwNM6BiZfJEUhmtLdGgmtWmeDQLEcyUFzwllFrMh4OuFm64HK1
xEX20zLT6oJAigOBPQ1U/4F3pInNPkbw9AVAsn3kFeGuypzwPOWiCDQv6g6ewU1/A8DDuSSRGW7c
yfEXCs6OFM8jjjtH4F5nozAPi1U0QU1txHON3e6i2471TJ3FWjsy9oAJTbI0e1DmeDOgBLHEdlMa
VhfqYF805eU+uQe1WySN5MVCOSUVXuNj7YBEFjr1U5g93FEGsZme+qL5KCci8fitCNygl5YBL/iT
Xrt+Q0R3h8RUH1OXUoXGopbTzFqSdKYx+tjeSa/y98NGNGQ9Sa7JfoM41hzxVblXoC5iBzjS8Kmx
peYqrwNMLfpOjj27xZDcj1G9WWzKH+BRdtxwJm++L3SBScbVZLvr8QDuVVKSWFI6P/oMb4ozKi9Q
mhZFZIPFhSQTDTy1VBdnDl3stdVNlGCFWygitSgsYkd/8rzHiSJJotDXOQGy1ic/cIV9gKvBJ6jX
FYO42UzQ+2XUHDrssjuOTW2rRE6trqnpAdYLRWneCMOf0r8DJ9chM8TBAD6nbDgqOm2h3MMPLsio
MgIVyGn7IZV5q5XC23fOsgb6zsIdlw2z1o5d/bfBVKywJ9Zjx4bj4LE19PnWCuNvg2Uu27bSXkAX
iLsinfp3OsXqA/8/lkXGFocLxNFquI0xomiPOBFuKgvGS0oTt4NV5wJjlNoIYb7xAoeKrzfixbIK
w9dgDfnubLxgpfL8VLpsINt4xwy9bWuiI1X/MegYmEeO5o3nAP7CQ8FqppCfmWMeJdynIpu2sSqe
GpkwXgra6Zpx9WBbzq7Aw4e4sc/L+U2rXXqUVppuokIAPLmd949csrtdbic3aTgme8/or6rNGfXo
xbhS0PsMnmfeOhNBFCPXmRcNFCPHoIbJ6rBGNAlcwMTMkfIM+3aaZOe7OWmerE1DX9DVYHa4Ktuq
IlhjjCc7u7DtOdcqSfg4lo8rdxhL3Sn0Og960HArF29q/W4YPH+ojOIJHuz0RgvrKV0wsedcOKhw
mA6SIpZ9X9OGEOTTXB1xFg07LZNUrRixecg6LG/NMkbfI4AoZJYtfOjdExG1rbqapMqM5peDzkUs
muufweh7jFGGAhyGF2BSXKixgu30yXEPtpmn3E2GO4ANuD6Hqn6BnLccsnSGR5zQIhdQb5puyn5s
/YbCuYvpoJhxbSCi7SzycYlVQiH1Mt1U+DTQMk3ZHKUk79hqUwJmabpomB83nkrJ+Vl6tK9NWmQc
05mJAddW8jyKyb7lOQvMYb7gG+wuKeVbG0xlqF7HJTXdgN/bvXWdrR0BjiSsDvWZ4juimvUSdofR
U49emD4WZhXvnSqt91TjZS8adQd+w/oSPwHfV6InQYZdA6uwBlaac545GWJwGtuErcnnSZ1dFK70
YF4cEmc6hVHHpaaMvlHqm6jGCemAAiGZRPYNaLLMjwiqIxHnGVE75BumZTVZ7sXBB4kDwJFAs0TK
r8NVNfox9AqGFPHLQeradDBu2TCm0z0UrAZKwaqHe7qjUFKnHTDp6DVbSArjNyxPpSWnOuiSFHOO
Ri0j5EUWl3uVxdn3NgW+3WeW2FVMmgxU2eAXNidysmBS28AXNImW93iQbvDYjdFllPMZK432Epr4
etOaq0fQaYZBcEpgYDTdjLqkHHLbZeoYyRwyUodRGazGnajk6SwLgIPTLJ1bx5LJOQRP+/+oO7Md
x5E0S7/LXA8TNKNxA2b6wiVRq7tcvoQvN0SEezj3zbjz6edT5nR1Lo0q5MV0Y1BAAZGZEQqXRNL+
85/znR2/xdqYMulOzPLyWwJaYS86p/mCtc/RMVTtaYSctS0Ny7zI0o7OeEisbRPrdEu5Dwcg4TSC
/s2eJ+9QF/bJHLq15vBnEQAh6IpKcWKnLMmjyeiQz1I+ceOnV4lI+XaImiuiWDfNVqaF1QQwWGhe
yxtWnwz/NY8+UM+zakjW4x9ACatmGX/3HO4XGF3G7FkK77anYw4xcywhn+FvEZP6Gfqm9cO0AGKs
JanUzzBPiieOIW8phY/AevWFsOwTO8RhPVwFr34Zd90y10HG2fmIE5GvKyH/leeUw471ZPmdtaO7
82raSOneNDdDhXM9Qh4EQpct92ZPjJs9Qkd60fWQzTJYJ6GpEOgcOO5F5dLrk9Z3XmZhHWsml2Kx
7nmYYdGYUr+Afm5WGtj6NsNFf7eAMXnAedO8q8jDA2mG7ri1oBjSQ6mgotU2g00UPsWxD8bkmjQP
e7pNvf44JWnKDW9KD7N0vxKO/9dqyG59LcbjTjCx8B+wRTxRzcjDhNYjqMSdKE/OlU7rLvdO5PiX
2PUm7JN5HVSd/ChpRbjRdmLdktUNyQgv1hEni/Ed7yIdPpX/7nfCI+l9dazbnlrNtF5z87AIZxZh
nu6nQYrdNT+c1hICtlk+p7mw7ySx+13pGtGhpwtkx2A3bji8X7oEm+HEYgpwQ3cSHNRbrxvom0OV
3AyE7PdZWxp3wzz5iBjqKcZrui4z2D1K05QSGw7BRJkSLQWSYxF07oR1huNrnoQLSgbmXXoQXsRQ
TLU8yhB8yK6cHoTUXJy6xKo5UvMlQ/9xnjp1jEk/mlxEN6Y9Bnpw/Q1Jx6cqT+/mDtNe7ABynGSa
0LOSkbEgGE8Dh1PqLiBtxDKpQhpVm84fuCeDqq+OPsHXGBVAYx2Yxwi92uGGLHxdP8+USn1WoFnW
RhX7Kw4WCx+v3e4rvobr2ash4uKar4Oa2+JtF7fhPcSe5TB3DlQdv8uvpd2YBJ2L02JN75X/3Umx
lkzQQVG7t8rGYUqg7+JzLjomMe5dgDRJob/NffpqDxVCa4sPE4bXjZFdQmCP64UFy6PGFrySBlQI
y6z0sWmrjiIOJ/5my9TZwargSDO1uDY0JUmLcNdNXKuN6+F5Lzr/JuovE7umW3yv6SHlWvtOvX0S
rnKiwwB7NdpLb3MFRFSeip7CRzJJhbnxcPRGg/LWk9B7ciVEQpVNoYc3sxLsE04LN1iUeZwUeCFW
pq1MJEen3FpN4fMxgvP5ZjYxTlW3r+29N+XlD4HWwPUDqenEH5oeSm9+7mCYIxDKoOL+duvPEC9W
xjAZH9SkFBuehzibx2WAF1Pi5vPxYrzaiTaemPut08JX+RtdKgDN0dhjmDVxC089bxt+apW/O9RA
f8Rux1yHaOAP16x8Zi9HmPFJhnqr+m921ybnwZi4jOeMD4Ed0xjfhcsIuGPpEo6ZeW35T3TntHtq
8cjTFdoccEq79nMfi7jc5i46VRnRpoOSqRSUnErm54i8MGmtfIIms0TFCBPdSxTEBAxHz+Dz9Z51
FMe4spdJwEStdlhrE4oKq1ry38oCH142Dq+pW37EoMNXlLJ/MJYbA8mXKl2bjfzIOfCxcFsQrEB8
IIm0PSiLQXZUfOqK/637umxvZ8oWOVKa9muZZlxL/GuzvTXwhPwAvQhUh7hbFdT9YH+mHMiDhazC
3gsj55Yt63TX44dGHmMnrGFmYvrK7UvvYO25iSnONDcNAe0AEJ21M4xQs38i/JZ6rH1QusobjorD
T96dPijxu8FGSJOdOekHZ1KsIfNQkORQtrFKKfa67QyooChrcdCQlVvo2DGvbIor2iGDe8Tll0KJ
dB2iv64I7R+Yuzq6ZHOzObQGBRYSg9Raosru3Cm3zrjus3blQkJgFQ0YioZvTpWUEZlW5PLgm5KA
jeK2GfkCR4v3vYxNsDhNmGIfUs1mMfx+TxuzPJMp+u63KHpQQGFE9OPwpuqux0EGqAn2+X0fD/ka
NDHkMPodbkLICGCoimXdzK91ss5aTEaWrO7YCOK17xvxHNXNepgzvfWxNX0rB0owpggUX5/243qa
hHsT5lTqQj5bTe5Ch5ptxkFrGeFDX5vc63vnfQo7+NVpCZfI9Ad9mxLQ2kxIYA8qCzOIG6Wtnlg2
LUEcE44YyzEJusmY3sJO/MwXRIcM9+W51Lr4ViY8O2g1NG/IJyeXfvSt7WA7ZMu138T0tvFgWFaE
Mf1jgizJ1IET9SnuTWgykoXPhn4xqDyFNJMjoS2OBBEGvDUYYeY0cj5QTKbHac7ELrF7qh8mnwEN
/xUbxP2sKlan1uBurk9ql8EDWyhRxxpDAMT1xvwG5Z54Z38FbnVDfl3MijUknWFDGOaJyYxTSqf0
1qtqaFV4/YIC9g2uSvnO/i08Xslcp5zT5KpoGGhwPl7pUNxq6R2iy43d322exvaLSzlSEZkjsSJr
3rVd5+6yutbHehFJkPWt+RCPctiyZEDmJB9FExunFoKj5Rg+xsPk3CFX8qOkLAWJj6kjq2lxz7sK
KMZRc30rwh4zrUFalV5YV2KjAIR6KpfJ/Zpp4M23bF+YAdm6TYdR+9jX1cK3By31KVpUf7b6+t6I
lnWJmnfbTJ2zV7mbEh117OoYlRFiXGPaC/+BHvogrQVtL0v11YyOoKTEYaXiVlb/mWMdCDojD3fU
i/J6VVvLreCgcFQmHWvFTBhywMaz8QdaaUG/lMk3Pt/3WTbpdkJE4NHFXh3wvWBsm/BTpu2rqSgb
i3E/E48QMV1qCpkOcYf9nblWyqLtegF2Q2EL7aQYKnGULwCVvKbs37rZmu9TOimBo1Bz2cUMBtqq
jnjX25aUis3Dhp0553+qupOHrvEa5OK0tc5WxB26q8x7dg1BMvL9Lez5WeR29rkA4npqfe1+soHz
T3YvDkmfwgpn3oZ/7kFtg7+eiHwFqrB6NVjIQsxqYIaUIOXnVBhrM6P6dfRTQD1TOGQQbxMHKZgz
wwcaKJOHbKxzBMqZGuSJ8hcPbA+L/2lfxSUgw3ZS5jEqEi5tWkxWg2FTadYZb4RK9Lsfc96AdzKY
R9RnnjakfdOPELGSMUGNztYaRUqdsk00u+qbF4ShN7ArP8bJz3mMO/rZkjHEw8aGXs7jNHkVzJ8v
3Wyy1gHPPu9GzTmdWaNlmjIh23jMLOvITwbqzafy4s0F6cPSc854eamhrfORZr4MwztKXxeINqpU
UNYjnowRTvbIJNoZ5MOs1a8DToYsESyuvrDxEthqK+q50qiddp4haXuMDW9rNJO8VMocTq7B5rXj
fvSAycO40s+SNYf26T63I7WjdCd6JfJnPTcZUAyKCKketnITMwfFNdsWyj11rZkWd6kc0Z1MCDYs
vLp2NWqgUomNmYiI3rBJyhmhfUgyLMZjtIb4I09mnwPXKCUmn3JxJHE7z03XTuOUG89tv1IBQrur
wqYnyI6dQWf5spGWeHLR9leJKUB0cTfdsN8tTkYu7+2hXILWwVsp7cW9m4nJM+9P0w+KzhvS7N54
LQ8OR2Dn9uLfUe5YPLCk9R+loaZ7FtjOD+kBrzFmh71aaQ6HVLvzAuMph3Nfxd4jxGxjP1vda4sO
nd1orOy3BOOyACeN3vIoxe+SzD2AqOIBNkF2mjhz7VLacdZq9L4BgAKVljYJR0lvSp8b/Dr3Iwh5
SgJ7lX6jvo4dAdQyzE3JNXhkLbeaL8SqzEKo6ljU922cXVnl8cEuEuTI0PMOqW3f1TQxrnur8HZ0
DpZ7tIxhtSR1wRUxjQdRY5whVIC+qV0XXJI3UwxYalwfUDdeDMd68HT4DORqvI81eVs3ZIrLaPZb
F+M1MjCll5g9YYIbaqc8AP+t789HiuZQXvOpvMsqTPilzvYWx9kLXdDoBgxRJ38uiLMwPFm3tetX
O3S/Dw/jrjLnYxSxMPIMGz54wdLGBL2+S4ncvsa6cWGgFf7WVqp4Fr3LjatjJ70v0/IgKqc/ogng
CVH2tE6EbL7lGW+U14bdDWNyAzqLRTX2eKe93tIJnzUEMQLyhOmOsnNsHVWPbcds6mCkUQvAcz9L
8wa+C+0fyswv3Kax4bOSnzY8OaqAnaR57OXws9YCraeN7F2YjEh71KXXd9y37BX+r/mAn0CxnY6m
pyuj584r4cDTY748YLHMNwvs73Pki/Kh4XDxMHaz3ERxUb/NORHOm7ifhiO128C+fHINhLbAU7XZ
dBMvDKUo0mGTceUvzZn1kv8CpG1e10mFahBXxjorZbaxSzvepyO9iHA95UUkTnJnlS1C+RIT9fVH
q7tHG4g/SKaYVLXT/gjlPpuwOwjnODutesXOPXE/W1pUw8mmrBjk4ooMRI5vK2GfYCv/owl9deCg
En0gEl6bWq9SFIm7S8IQTouV7u2D171epaAXM8SVBRrW7N6W0JHfUDeSN/xpyxltw9pEfmhsFu2n
PwGvi4d5ctgchFX+FKZhvGEtwHhfEmax/Np9tE1hbuO+sVfSc+KHIWJ9vqohjB66OM2+6B8bHkse
ryxm5vDc+I1NpgDA6K7oUrUxwEIcSJFaQdPyrGF4Ls37PJ/HN2QW55aVFdx3+EE0346qPbMxUI9F
zwBuVHP2mFXGD+ouvMDRPD/BzR3iiEh7bNn6HDWToKlgQFbMuGZIapP2UqTmMQbpAovNIvdtltI9
4xjDw0LtD/r82Ot1Xrp1sGiEjDr1AZL6UnzJ1AuPOHRgR9UGXcVg2vv43uFwQDZ4Cg/Uk+bbUTek
3ydGfUZn1AK2UfJhrNrwIfUpcY4wAjyVYfLI05Uzj80szePX2kF9d9mlxdmRNuLp2RkpeoeDz+LJ
yDt21hxr15yRsxc/rWfEaCOMXwe6fNIbP09HZAf07QVfDbcomE2Ba1rq2Epn+V7WibP1YrZ3bVdY
K5+Rc+Wn5NPY7syPqGHdzrZJ3YzLVXuvzb79wlwzE86L7MelEQuoXOj0fG5QAmTiU9g2OmgabGK4
VBuiAMWIfNK66AqzA8sDW17C15INdjHdDUl3ASjf4YwjKULxhxfgJuPMGSXGtmR189gS7mBihrFg
qoaegdYTI/wOdu9fC1U7PCmW8jmLeQ+u+FkoKk61r8iq3Om012cVttkhFvz9owWjIMFh5fGWi5/c
cIzbIYQ+snHya5qd/mHuQf8Tr1iapjKfg3gYbbGi/+Kn3VThZrLD/C3vZmAuMO6SZydn/2Hjvron
Vp6+Z3473NkWSxd0Wsyw2WDk3JHS8vL/xC6//VldbeTt//oDRP7f/vjL9rdfRz+r/06m/JXF8TtH
91+N8G37vfg9N+i33/Cb/913fjGFJXkk4Ox2XEAh/84M8vxfcMXzZzv4cklOXP/NvzOD3F/Ad9vC
dx1+8xWx/Q8HvFS/CIn93XMElG/LFeLvWOCdX1Ec/+E89xQcEsz5AlnYdxWv9ScPfBW7oxkbrUVl
+EIRgTkZsdj0IrTSrVlhtOQyWvJ7j6BMjEPL8gh3R3PHlEo1bbGKO3eAYGibrl4v2L+CkrQL5SgU
H1YouHSH491WGL99PWykEOonMAVWYgZP8YOygdIh2NCNp/wh2TtltEntsr1XSSkvPqrSXcTylOES
ngSYimTfRiE7aakePVW3oNSwUprglimclt0tPp+g9eo1gaR0AxXl4NIl6NZ9v170uKyw5pXUPHJD
WrRXBS4C8lplPW5bG3NF1fi3YWSIu8FoI7p643eCT8lxpl5mnWJtwgAJzLyyrU9upPZqHNoPXGAe
TpfEu+lam3KdKZz3+JC6y+L74yFLzPgT+uKwymfRHkrRfXcnw9uZrqmDtK/Juvu8ppc4P4m3i7uu
mT6XnsUwQWaOB6lx5zQuO53lB3P43oisNf1pLxPkWabjk+Io2839oVBim8SAvpk7jQ9VeWMQTtZn
ntfbVmGUz5x5B/ivWgFEgEyCWHxFeG/sDKsRsTtoKoJiz9ieNp3rvtLHckq18ACRrUnv6FXST83G
jxqPhg5jOIqRKh/ZiENRVDOGR7XFKc7QkXf3ma5ZRC5TWwCoZCkOSeIHAWr8HtoxL+SQ5JmiGVxl
WvXvRSvx51bOEH3QB4Nvge3pfdZb3FDFSEug7o1t3jfeuSgi94hlef7SfkcRskqshql1Wo44jMaT
jrOzKerkS+kRe8BcE/amj+SGXCu3yySnhD3rmSA8zBuNf8gwQq0EyBYiCAYdbRzWQ2613n1GvHQ9
OsuDF1eXzDW3RjS690uRjHvgeMkxaTq6YKkklvc4pZs1VTcfFA5NAXymd0iuw23rOntD5oT3Btlm
D67bY5LHiXScTA/hzsHHldYj+0QLrqoq52NHXFsYyn7oorYVJ9eFVcHypRTNupwNQNIFpJI+6ArO
/isjH2nBdv3cIbAw8MOu81px3aXOtbGSVUeRb9QCdHCbJRAtVoaRygcalny0IKto2bYkVolPz6Ho
btXTIAOvGy0u2rQuCEPsNXFypZdWobsO83Bk2ZcKRvjeoEHxpiQUGp1guxfdrhd+3a1iCQ/9Js1U
Ur/g8tMJW7bSgwOSFd51IjMrquwGr+RxEzNCEyzAiHAMmzgfAw9flaDeVWuP9SPN7fvMzo3qq86S
xed12RQFdEjmPmBVI3U4oISloriK8qbN7EMlWIFRsamrtpxZ3lQ2EsemQ3yKg7AwvPazAu5fYJTx
iA6Iaka6B8VpvwNan1/KkSvGB5N9ryPtzes0FITOiZvEFVzqkcyrHAz0J46WpDnpTyfpw3GKN8vN
DMwcatPz16Cv1OQK6Vi5y4TVHqjL4rElyPBzDJtKYV8gkYFXJRHZvVOlRRosvSq9TdFhNL2L6ZSf
j2hCMTyYCeuqxLtJi5rjLaAzIybgLX2DrthjOezoytZGnwQ+JU+UjhdeiJd3EByJfCgKdCvGD35J
tyFbHF6wrzMCnBitXso6dnvqyydt3zSsYfNqOUAyktQ8JfFtSTLm+1iCvCEpMTW3fdXip49p5tkX
E+ctD1XWjluFugTzrHOf4m569cp0WrdlA+fUHhs2bXF+sVLBbS+JSIyUZfeoXLcKhqH13iLZcLa0
OrW8C3P5HJ0eY6PZl99CQ69rv1wbLT3ABfaYo8Ofq2+czhQ2gfJpHIpTp4fM2voAqn6OuOiuZsAR
NnSOIHyedS42RjyF/TYa606uK5c9yEaWZT4euWt/Gzo10RUfN91jWri59RDmzRAGuUtfLkKiw5Hy
CvCd2SdMD3aOHXEH/ZxaBpO4xmNO/90nC39h34yQEOK1p1XypCEhD+8MBJ0+LLiC0FWHpHVgckNu
SDJY6eP0gxbHEGwP32U4BOzz8CvXSyBCegj01A73XUeznTLYbg7WNN16FnymrFf7MHbSi8fExFDK
OdFYTBdtLZ/eWtaGl9owAcaApvef2iWfL3Ooi/wenlH1o7Rse9dny7gPh8I18KR6xXcHSvsFqDbb
FzTx89QVAwdckXo/Is67L3mCdZrICv2z6Gx9mK0oQfS+vHxpThSBjV+ga8Yek2bl5k/Y0jnMusaV
D2A5cbyBPp7mX4nnYDZOjdikE3VwHsgAOy/FaJBvHhLpBj4o4/wkcMdzV5jjjVH6+qmKmprgdTaW
PyWQ/q8BR/br2Ehsr42KfQg4BTZcpB2G8WRiDDUqVp9R3hq0d2XsG3EENsWprCcvw9NTKYfltzFA
cDVj79WtIstbpa0/bVMg8JIi5Ex9VoYeLk4mvSezKvNTmaD5ocyG7nOuhf2+9DxBkpm76o1bzNGr
Mxjs2icRESCac9wZZM7WnnRh1iOKb0RkCyyFstsPSmZUjSqUDJtwvcE9otIZ8AJQr3j6ZkVIyl/a
5ykWxh06CKrnFLXoTE6UL5i3DGz219VQSWZ4aPL5RpsE69gfzPkmzmE/t91EJcViWa190emQvxZt
xJeuAvt9NVIOIR0WoY/J379SXdnYQLPChyoNzQRi8vyjItcpLyi5xny2HZYSFwPgNlomgPYhMBDE
vZvWcmc6jxmhrsT1K9iFZvMRUozHlL6NAAxFp6Q0nHk1lONwEXhQooOqF9s8UeCwsEEnBO0hTVQP
fjXVJI9SY+4fiG3b9bcQH/6EeR2vR4ru6hOZKDMueZ/dOSZssjAZuc/t2DX+UzgVziXl5IJqEnLf
B02U7ChKs3a+7cFSkInc8TwrzsBwsW6RX9kSImMlOCMxr420XU5tqLzupmRLckywSjeQgBr0yxR4
w8fkOWAC8ARxfLDMu3Ye2b3q8MHkgl/pNgk3nYNI2ub18OqJvjnCaIye07ahNaUdcSebtRM9KTsi
xMXppuQTrjDZUC5bn1AovGxrKZX6O1aOHh9r3dkWvbSEEe8lTvUz6XQLm2lsPasRkvU2TwxoHhWd
KhO+ZwcWZg0kfm94ofVMH3fCxzzPLkCUue8fJwvE5l7MHhOiXKJPHnPcLEMQBBAFxtiKdnlihhvB
/PG9FoUPz9PM7xdV3TeumLYt9hBok3UOHnuxTxjZvXXZ28dmsRGuZfdEN0YmIFSHxxGH9XceGOlj
5Mr8s+7rYdtkjWiC0TIyvCk6LG8YZZrPKAImXVV2uKc8ctzlIFeSoJ5ilzVxomn0MVtLBY3lXjUg
/Hp6y446Cm/tmLheW41oxONEuiLDj7pqurn6qNv5owMKB1FKJAUZTFPaDetE6LdrxCnQA78bzv6T
uO0f4YR/nXiuUN7fpX4t3I5mRXJjr6q86SAltdQJ5Ub69Pdfhriz7yh6OVxszH98mWEpyioMjXHv
Tpr9MwGIFIBOo9x/8eP8kV58/XGun6+gzslkIuSXf3wd4Ruyw67Q75e+7L+n1ye80y1MBNHs5XR9
G1nyMx/QStihwef5F68ur+/WH+dHMtrAk+HNuky3f/4xoVxTB66tbq+gvAX4NrpH6RVOQKZ24Uva
5hevwWKUES58y+YKmYPTBLSpp4XThfr1mCEiFuhXoQc8x3aZ7icX0r9jNcgqJryQmrYYGHc3xpjk
51ZrblWVC7qAFt+KpY1/+uef219/ICZh02VkNwUUePv6fv/u67HgRqXnp6+vGPsWT0RGfSbbrGQ0
N+SMfZ7xEQ3F+7/7opbpmIq6ek6mjmv+6TupyR6qAYWGF42Wk+VanKU7tMPokLhzA6D0H1Tj/+QC
+CMn+PqN4cUELXVoCy53J/nHnzDyLVlS59rtxyUxNraWn1NmBIU5df/ip/rrlYbhnGOIZ2PeUyDH
/vhCZK1EXTVJuQdaKbuzEnXIg7MUdr/75z+R+OuHBmBZMUVyTJQYj//0oUUZXRv2Yuf7DjryMe45
UlACFF+72X2rX4NAkxTAIi/6PPLG9pyNvaXuCeeteBDFn/2vp79aYDLAFxMuu+nX86H+9az4z/+q
f3lPhJB8tXyEHd4W+4pD+P3XK6KCptOVl+yh/Jjuvvb67n6qJoalv/06EF9t+9ciONu68md//zpO
E7dNFPXxvgwZBtaarTMtWGGeH359nf+yDsnfV0j+2/9HoqDlS66bf1x2fxEFb5L4u/69KPjbb/i/
UAzvFwvcN7IYjQxXKgafzm/cYM8CMc4/dsBc2NZviPH/EAVtaeL5vop1jnSu/O8WI1v8v/8HoiC/
w/E4SLHtcbm2/44o6Dl/xlFIE14SWRVlXx8opv2nO0QzUKBLdN3a1qFQT2mklnU/x+Vhwqe5HhiP
t0NTvMVZQWu89Ly3BKkN4qvdM2zwf2pbkiK+jSuVvaRxnBC9Xpxb4ZduuJ+WLiZjIHXM+UA7zotc
RhbZI6zxU0gFEppVh48482egfjjxX3yC+F9L5XYv8YKj9kZZ3Eoc15juWerlN35LhTn9VVmAvV8e
Jj3Ih74dm6Nqy+qA9MaTA7/4PhpmNHYhjetGcpHqWHdtekxz3wIx46nyCUlsMffcSIyjmfJCK1ul
A04NB/EvtovwmdNzsy1swz46fjW8N0mNxyU1vIxR3J2Ta5uI+Rza84gH0Ir4s60Kqz/hRZIdnPzl
p3+9/IhPF9VBtxNtDIOT3S0y1eombfvkZBapq3CR+axeK5eTEN4qfTHqa8cYpyxKILjLBQx75W3p
KWYQE99bhmhhF+z+kAO/MNoZDyFQDWb+JBw5FNoF+wwDDwOpt7m5i6crqaMxvaIOQldhRIhiEmDt
Ms97h90ejjR8/mgmzGGk1OjX6t3qxBHJ3qeCKj+s0qYVFHhPdrK38W5O1lfcXWPwToxHGuiB0rvU
yJh2Kt/soRZ0Jp9u3Psyo+cYL0nLNg3nT+lu5s6sg9YV7N4q0w0Gy9Kfc5ejJqUt833PyPdRZ2J8
E93gHFBGoiOyRHUhvSafKfPQt5mdpTZLG9M1Atp2U2MzER4g8aAwJKzc1LF/ZZPucLP5rASp/wB4
wgRuV5SyIQe7J1Wm48HuOiRKu0ZqTI1xIxxS0Nhe86eitJE1TBWPu0rirk8Wg1gnXUgmQDwbK5NJ
uPlck5hOYA173a2tPetkN6QwwJnKGaQAkba+XegzK0feUk87eNSE4bPOjHqmrQxm7imEPVOYS/ju
6zI7GJlSby7b9COjd76LpJa8TZXw71h9VuaN7cKiv6kHtLNVid4N/sFnGsdASIAFwWFE5vbahYJn
9CaWmw4052Qe9INRkWHw5nRjjomxtuvmvSaJD2emKtbY6YxvjdITtq/qYE69Ebh9WK3tWZ07alkm
NhlB4ePiDLV6CeNkU/T0c1eVq8HSuDF9Od6Iv6j5ICbe3BWOfmx0/eUnLfVYVrbJ/R4WHpp9t6jx
XCC4uHYNzT8Fp21JB5s2nNtzaJMZQ9bHYhOMUmbluiEISVZ5ooykoiYDVq3bIY6zA9ZOsxpNi5O1
KmKSm0tXUOKHLnBFGT6jcZW3hhkz+hD53eaq6/tLR30fmEIr15CPTYNusciYvHfghRmGIK+jhmjq
ovgD761prrmbkBKuzAVKrAflLt5aPW8ObuvcmNhzjPwl+U02tDUr6si4WmNvkM/tdMxC1M0+0VwB
donUCDywN3wtuglYpq225qBMVPJG7IXGaD+MBJqLCLIEzL0wfHZ5a1c9WdObEaBc4BFO02vCd3iX
zBzfIbjWPoDIttzipjEfPSoX3z3RkJGS1IweIccRWHTD7D6ELBuYaZV81eR7OszFNibGpTPnAJre
tIHIM05E+l0ueGvo32oMlbsmoxLoZliyZDeHCXNYlUUEfltX3qLkO7Tn0UREjFK/Kom8GOqZmEs4
RkHB6mOT0+H9aOZCvxp5n7GBYeJZyxQXdNsza/H+t/cUgvUQZtmt/4jw8LKI93dLZB/Zb8+nzszy
Vy2jFgfHtOuXzHhkFs0g8XjZw0w139lpzeUsjazYepQ+3TflqU66PbLIDOQI3BHwpeGZTdUQtFA0
5Cql7HKPfdu4g/dp1keLb9N5rHUOS5I7/CrrfXFQY/4W+n73Bm06+9YkfXXL25xdKHVV70AwmdMb
rG9EW8gGnaOY4E08zAiJMlpaEoXAE0Yy56uWJBxx0KVc1mPYJxvl98d8XihqWwa7oUVuOWq4dAk7
bz66ZczyIF+K5TFcQBivCJ1nLx7Qj81cT92ZgjeWWJQx4V7Nl3pFc1L62VDrtieKyodUGHbymKuI
b9n1td0kse47oNEBcKB5J0XtfIgxnrdOGHHrw5g9Q2rL4ddh24ForjA/nFzcXtcwTr4dRh73tW4C
AQ3piokfH2K/hWPbGVG19Twv2/sUMG1DFderJAzzF6Psl2fgAvK0WMR7bgTR+EOtsFStSpDh+8i0
Pgm5Z2tTjNkPO/aabLOQNnqeiDlASuboUa59gJWnqfbSW+lB879pubcSAv1uteQ8Cb+nd6nS0dnC
A0PgYgkjnEqjn72P3E9TOu5My9hQhlRd2JsLRpomWZ4q4NJ49qqiP5itdoCxZMPzlIpPDbFw2SYh
QHs3wijs+m300+27KCidK3p+lrgb51YRcFKjP7F4t+Q3bFrjE3aE8Xs4uQk3XQlFGAatyWLCTe36
2QVH+jO30JN6C0mqiBNWBkUn3uJUSmenKT89dwhSbOj9YIqA90DoSw8LtrxXP4x+XNOmXFresSFV
uykk8cPBiHawGR/Nhc95TqvxMDfhHTp/c2OmJIG9flwwLNWzfMw0F8mu9xP7OJWp8wiAm8B828tt
WvodPK+UQwdewfZHnRZ3qJp8ULPUe1kb9raB30V7nTbSNZDlfF1SiHeBvtdy3oP/igHdDyhwHp9Z
peSBIKa78kqh74HFT89ZTVGhkwHXpHLNQQrMSR9UtvFEVHYzqRluqym9y9jaxZ0myYkelKQvYp7l
ftBFD9u1rD9L0Igks9qS5c9Q7ia39F8dq5jPoXCqz6GVU4DZi4KU0XHmR+R4emMxVQa1bHeKMsdT
XPVQdYa4effLdjlOWLi+XIzCqzq0z7XUybGAz3Eo2Vv+oATjV6c/LemraWgJ9cyDkRzppY4UJ8ls
+gpDczwtWIOT9VQYzh0JNm4k2LF+FIOWBFpb7xiFRrcdizG5d2bOUSIK/cDtBPmj1IXRH/rsMZOS
VWMI+7/5P+ydWY/cSJal/0ph3ilwNxKY7gd3+u6xhzyWFyJCIXEnjaRx/fXzUZldLamzVF3APMwA
DSQSSEiRQXeSZnbvPec77fhRuDPkMllfd56lcIjKNpgMjeOAghmMgT47Y8jKoJAPZw6dRMr4pX0D
Ax63s2RZr3TNxnySYaRPzpOK32mxf0jDv8E32m7B5jO3t6NE3FdSYu6spW5s41o7sSYWBGojcX4E
0M/Us5rGMlnrQ5dyjPDrGXq3GrZgvLR7jxQ5/WWQsyeOfdhClnKlz72vcvsbh6yq22FGMS5sUvVu
HNCRC2eI6uNc1Jz9Gi/zP3A4kag4N+xGrd1jMMwdEdhzN1/prXZFuqJzz2FyOqY+ejRLb/HqNYnP
aW7xfHp0XRnCR0YLBRTfyyMpAdG+aBHNAHwNg0GlJ8uR7jUrAnkmdVSc3cjsiZ4AiPWMwdg6m4UG
yo1z5nzdKA9hoNRr8QJxHv52YzZn3lf6DoQyTNumnvq7jOxL4s0EJh4bECcSPcjm5ibkhMu0G5so
Bpgyf5hBpGHvBhj1ghGlOFvtQg3H9+1cWxUnFIIY0KBxWC2WpDa3usWD5rjrtmgBx7bOkICBqqHT
b6JZZyqdhTJ+gvDLJEJK8gZi3daOkeCIAdTsUGV5cc18080D1UI07l1x50W6bXEAszBspLgJP7wp
Md4j2XlAUjLxghmlOzDrRWeNVQKbfBERTIDAlwYIBAty5Wn6jszcKiT1MKAG77GdiFBeNUxlNyNd
vZVQlbe1a2fnw2shukmirtUQCq6nNGx2rFpvqKAUgL+ughhhx7vcQ/sxJmoXm9EtU9xvNa2TfVhW
2mFMQ8g4CFl1GS+UomtUJf6qd2URkFWiHvSh0VBNw56FDR8GmR5a5A9nO20pMZCP7vki5vVQAZjl
bMiVQAApv+nMlIIk0vamOwI3zDhwUyJnqwQIYuATMeE3A17eOHpUS/QV2b+fNY4dAPd7/GOpglmL
6r4avCsaQXVQ4P63EoyjFCPvzEPOmZMGZeJ469lP2Bv06FVV5inCLraiPWwGqhNuMA81Kb1VrA4i
I94UWD6wWjecAzJ/LZBGuOUzBINB0oOXckmXXg95syVLJNBz4i36Gh9zvFfoOQI0ADcz0tPbwSqq
jUvmCFC+2d5JKyRXavCJzBwmeMTUTdYxLdvoPpSMGmwQw+uohole612HNj5Z5HISqOAM841DqTb1
u9FwoKuEjgEFPM8mC9Fo5wHhg1J/drGcJWBW+H69BgBVNmpMbiy739uaCC+dYXbPbVqiw47jnIIl
VVhWx3YSMpjNvr/L9bSIN24k/Qsg9fEN20J4at15cPYNaQwcaJxnBrPQupRGQM/aWEJBgE0Yyb0r
oxFjl2XNeznq44qNQ3+KyjZ/IJ1GIglqbBflRZa3RyGE4gzqtQ1LXi+fbFs9WIw+d7ryHpXKnBML
DAOrRHp7ohjfwPpZiCwWKcCYrrHu+fAY9P6rOXWxyelU966jzkJ7M4elWui5+QvMa3eRBNaErDRh
/8qblawZXSEIKIp4V7ijuxsntmqHad3BjP0Ix7k57pVHl2DlxYa/ScxGnoyINZ9VSB8ukZPlLxXZ
kbvEVR2ZDKIVnz0OLjZi4SIf4TVBEfif7tt/i01rOR494H/cftu/NdNb+XNy1x8/80cHTohPQGl1
XaB9s90fO3DC/gSClbAfg1+BPG/pxf/ZgbP0Tx6tN5cO/RLbZf0ApjXFJ9eiresbJt235U/+/X/T
2kS5+GdDHinjT//9N4jgt1VSqvbf/pcjkP79MFVBiIfGD6u2w2/RPZ9hxM/d28wwEdlkmAzTJaiJ
ccUAuWEuiy08tvQ54vl6IR8lP5TACbKVX4ccmkfbAvJW93taYD5KtAaWg83/A2JM6l8qzh7P5lCK
63nW7c+JE7YEv+rWYSqs9L1KNAvDXzQeSv69dwsHNayH9mBa14ayP7JxhvDAEFtdu1j5H9Gf8aYQ
eV9iYJKUhp6bP5q5MQSer5vH5fh/29YWyXu0WQIVuwVGTpBGrgzTCyqh9tgw8rywRxD3khYEbLIB
exDrQLLVvFo9qro0VUTjCDSxTuaZayulpKhyD+R15NQSJEMV4auzyl3Swr+xRwIPrLrLNpY3Fg+J
asSqx35z3TFxASeOhC125GpKXP3M+V5eWVA5jmOu21uHZs+1bfb2thdZ9tArXV1Vii07FW4JPcpu
mXW25FO3dX+fl6z/cF0QYeeMOLPOuQ5BiqPWGxmZjp3/YjS2xZS47NnXTaThZp3d5LnV7J3l5KAa
ueRCqPnNL+x8xYkYwzfzpsAEYr1Ss8g3YaPob9i6+TnM5DcmamTOlwrTMDP1bHjR1Rhd1JLrOMVh
++iHXfjVmO1ZrGwPGgMYX4Mx9aRjOD2gKynabWLF+kvhE1FBs2SJIPRmMb6mUz2AoArt5Lb0+vCc
kO1z8hHXbBqJ64Wz2+wlQdX5foDsZiKvV7M0b61hv69WspvBnPVd8c0go2cf9gYmB72CttK0VXm2
lqzFcHTqh3zivth1oa/bBLfbiN54jhE54Ly1rsjawASileoJrjxyNM/vnkSfJheOvFHQ1tq96aby
lPaD+Q04hrMq0JyPq7Srcd6n0TTemWb6EcfeKwrw8Eo2M8YzsD0nM7ecoBsgJ6xUWhnGonNhvxRC
Old936X3ceURLjy30xFbjLgpJJBhLUOzURoxsveoP/fQkN+atkPFbtrDPko8aE+TzA7QyzZkzIT7
CqFNtFqCaO5IAqhuBjVM28l1xyPKIOclthoXTuvca88icZJLJPPsUGbD8FowHSJiCAlATIUVVK3n
nQarboPEH4LMde6S0ajvrX4s1n6X929oX+qLM4JuaKrOepG9jJj29qRQTFYoDDSdiGXsgs5twF+V
11Hr+C71PVnmVgyRCbeWvHHGhCLEk/IphK2Nu6DQO/D2qOzWeiGzbUqoW0gaSEobArcEcCeDyDhW
hxsmFWx8qOS4Xh3tJhpHY7i4RSKO1NNTQLVVXYVC0QRWqXmT4Eu+kiVJLCpGMdX2okESRaWcrF0p
XbKOIqxoYU4RgfbN+Oq5E0Qb16mvTGTwDaDgmqB1x8Tw2UMkQRDZtjQmcZUMn5MmLuudQSJjvuY4
n4kAMj9RAxDMQMBaKeIGazlfdaBmr0yIfZsqt/Rth/iwRCtG4HIgEeN56zKN5UYRXJTgZdO8a0UH
DXciS/GLsImhIYaNUKsgcxb5DhkbGnlxOc09DG8uyKUGrf4ZlzhYJDuGJknBiNte68uPlnYN6Wlg
fF/txhmdVSnb+GUkpMtesSBiNxFlKujH52YnXqbSViRJaJb32UD2cI3kYniuYfKXx4Q+kLtC+TYd
tIGg6J0qPMtYU+hr71E1EpGhaFk/d8wmCFYgyOJWX2oCq5qWRXsIJxZG2muoRwEtbDEYTd3OM/Xl
+Gz62osbjwStZRW+4BVTEiRpqNcLfY/RmVQXC5jL9ZCndbwZR2WNm8g08Kq12pA2u4leHBMb06ke
EiLr1GrwZkobDmjtu97M5DJ2nevGGIYdUz3IWNdOopmLbVdI1UDCjmlLpzXeDT2CnIAzPuteEnAn
zhrFLXafoRts0DMEEdGc01x8V60TgonIjZTuLZhjatrMONJ1cQ+GoeiAt9jkvjWaWz5hWm93FZ2k
fM08iuZJNtb5fZKJ8KmDrXaV+/a3etKaNyfx722QI9VqxopIpZBX7rbTC//YOd34OpGEjgy7691X
kiJaD6xoNh10N4KhlYic2ZTRi/swIz/oNspCjd6RXRgkyItm2PqpzwdoRKx2We4rIvco8gfKnCL9
zFRjPAGkiy46MndCr3K7DTitEoU1EC7y1fDYVSx/GIkKR9m9iWGsEgrWt0BebQP9tSo656BpSBXp
bbves6Qr9AiLIjsNhTChfwDYHIkxtJFo007udyGS588dpcdVRqhNRCybniabEuXlM4AbrlkgBjji
TbHJMMdHlqxaGn/HKs/rJzrXhX1IsKnKdSiw660tnyApbMAAZrKSG6dZOR5jTW+5QKeP8o9a60Gk
Arybr8HX8sao0Mif0jLvTqyhxptuqOmJWR0gRzIkmZGIOWXtJZlwTYIEVmAe7u7F5+fv2p5yaBVn
/gDo2tFe6pwdypwYsxUl5C4Db+MuTEr/Es2j9lmXfn5nW2jtwGLgeI2VVVxZeQlhvkIz9ZVFV91A
SqJqowWhLn1vTyqYE6t61bJKHjBI0dCtLWk9OIQBIlCVmfZeolGCX+LqzRLcuaS9maHHUYGBRv6W
xHKWO63v02aD0tkHjZFUTb1DrqY/q6Kh9VDq5VcR217xZMDYsgGBDOKeLNA42oqBhkXTp4ADVFZl
t35soCdWONlA0kfOcArxO62Ae8Z3g4ppVuAxRUiLgA3Db/7OvaLamUdPXoZWsQv0iv2dFKn7rIk1
uSLns2hWjBmWEZGkQ6qJjFaFWWv6RaYLEgdhsjgTugqDdgyFiPZk0fsdPCaTzkDWuZEKyEdRNwsq
ksdTmG2yNrM4fA5d4loLfyR8I8n5VhHdy0vXju6dGhIfdXrCfU/Job9FwDVfzaPOiqp7dnvfGYCj
Bi8kmFHpuonjzQB0MxAjfUgWqiV8YmuJMJOsEcxSBdK/ztgaBKhB4e2zZJPOOhQURBsw49ImvXGp
dhGUe6X5BgKlumi1D7bCYEpw7TYj34ifZzUykJFvSNoy2Rtj5L1lSW59IaeBy4qweV+A/Q18v/EE
YMIW0ReqQwAbeedfoGChNp9rjcVPmdfZbKVX+eSQl6Y5+bxLh9TZs9PKjJrRYIRTpMyodhVi1HMI
Svg02sry1wxZVBokSdy+DgiNUTOjVvyWS7/4GuIXPDqhFr0zA5imddTO/pk+NGk3ln6YZkiRq/8p
Gv9bRaOO9Iba6nd1Y/BWvJV/eys//oZJ7kf5hvH3H/6zgDQ/fa/1QFM7LpbD//R1CapEYXEEQT/B
wJEY6L8XkKb+iT8ROEhdzzRMz+da/kPCoX+yaH6QbEJ7z3BMUqF/qRh/V0H6S4H4n7I8rgkBB8JD
g39shEY6v+hH+Y9swI3bpWFv4K58o3l1LRpnJwn9SkOSqXR0mjl6COYM4SN0yzs5u8yco13nv8YD
pizg3icMYRcWgR0v89YgvC09Y/I+KvaAkSIFGvdVPOiX2rR2GQMUlMG7FF6JvkTohrBZ6I2AYu8w
tQ78LGM60lv3dp0fMte6w+h6jUVrN9TwZkPjGlCG6UbvYxRvJ+lvvLx+8DT5MI/hJnSttR1j7ynI
MVPvc/4wMQRNi3nnMIEV9nAlpHfo6AhjRL8u7fEi2UqkKm8RK27kNO3AXrAYKWjc4SMiayrB0H5s
3WjfDOkNaYZgzGK/oFnb7GfG5xQW8LAisad1A37X6V9V4z/qXvOc2nxltGN3VugeUKwyU1NfNGXB
+SvONmXBD0/en22BH9sAWPn+4iZS3GOrQ9tJzsLPN3EqGrPl9GRvIAoHEWTWQhTnaKhvnGm6EQ26
khgWcTaLjQZfpOfO/P4CFpvjz0+RjyoRDyLxBAJhx5LQ8+NTlNSUNb6JRprzzSxlcva6BlocDp5+
cpxNFpv4VzN3h2QOCtx86csE/YPhaIcCK/ZKrL6CM2iAmzbuGlNHsoXeU0Avm89j3uy7OstgEUf0
ihXdvLnV11gCi2CHUcdfURq0xFjlm8Hyka7nxPNVIZWmb53qEdcwcRYoMlsTBH8I5mec7zoySsCq
GmvevSerNk+hwGiRdqeyjutjhQPh9K8vpFegIaq2+qZ+dq5+f3e/VHJqAJmrf/+Hf+sn9+v/G3ZX
Wl4WIuLf9NaS4u1L/Jb/ZfTTHz/85xrpf9J1D0Ea81bbI0OYNtcfMjfh0H6j68a51rKNP1yx/9Fk
sz6ZjmMggnMFEgvabX9fI+m/WShJkbmxQorvf/QvrJGYVH55vNHZGb7B4o2gzjLMZWf48fE2BVN1
xvakruAyCxLRTjXsCbxGEq3UFzZuTnV67F+G2vF2rjZAc7RDFYghDQ9QO80Pqp1yz9kcHxKitK7w
i50ND+AV2jHowdmVTKFVVn+pkToxX6zbdT5M0TVMyvHe82NtW3WEs2EiIkCW9M1pN8atuGcwmwwE
T0v7SwhY0l6VthtvsaZtJ7+7Ai2cn0geMuhvuOpQzxH0UHD+k1GCJJc+WS3MSKUfdc9wcv2PTHM7
i4ViCneNFnZbMt0wy+RpPn5EiR2+ksLSHec2NQPHHRUvUBXvUQXi7zT1cteOdRdEZg6hLfFuUJYN
mwme8r6KdSOop44KtbapGhE53Q4uiTd+iu9lVWDPA+9WpvNqJrjtcw/c+ytxqe6V0jXrWHvdI6+7
j/iv9W4tUdvGynSwAJtuFXLkTSATsdg3ZFmGccv5eyrSfueREblmLpM9t0ynj/T51LHMzC9NWBCu
kiXJOYlh1ybCax9yME/wQlqgcjTsSYXORPJO6rr2ZIYRk/aktc8RUI93OXLWXI2tQ3gfAYpXBZXf
c8UB/oobzud08J2GNZwwR7evB7qm8Es8pFfMw+nU6d630WYKSLkLcDJn4Hqss8VwwfGSCTHc/Tkn
jCqxGDjzwNt8UVr5YBdmiu6DUQ9JVfozPE7qDjevcbz0VSAZPi7dyXaP94WIdcvno0cmKP5IOau+
d3pJ9JWVnhwtvHh0IgIH1gzUk5wg+5bDvppj62WkVbXvTI8QI1sUS+IRgL3GQ/Tkwg9ZNeZQAGJp
wTIJMzApPTeFE39FgxFS4JbSuTaMPj1gwoXmGOpnqfTiPFSz/4FuK/o89gbzfIZXl2k086MXh+7j
QCYNNdLo1zQGtW49SN28owmsl0ygNOjPlQ0b0m46+dHCwPCXDBeji+S2k6l5PVtw79PBHdEo5h1y
NpOnNtH9/HMufLMOiAabt1rBd+anhh5oJG6+zk5cnTTPk/e0FsQJJI23nYYlVHNEKGMvOH5GSHIS
4pJJiCrUv/2q4WjjNFMaDE4W7yAilp8NQsyuYz6dWjtIdDZ6CMlqVcdpdA1iKrq1ZsOmiW0tegEm
WhFivkbftRZnBSfUp3UHNGot8Dt98dBZ+EygtHqvOY29hTDlwdfMbueu+tIa4xE4N6nMOtmXutK2
TTVcFT3UaI8RMWQL95G5fRAZpXmQaDnwfMauFvywVv/FqcL69VTBqgcqhnXaADDAIrzMHn4wOJAO
I6B5sBzQczHjVe9UTLQkiUIxj2Mp2ZrBsg0Fxvi2fM7h6cWbqm6aaxsaGuwvAjBPau7xCpLAHpRx
mZ/8fklUwYCWnXHilc9VzdyzFUNiMe+L7WKjVAOenkI6u/e/v8/Z93fbAhJoH0reC/eAjNc6Ds6E
F3/oLbvcgDzMXn//0cWiq/7pQINTxrcXp4DDyZzN55cVf9IU85Ys0neGE6FQIM25yKwHzRtfcc6l
K6PKurUjovosmo70LbgIWJbhe/A0NBJKqRY5jbFx5hg0DZmq+A1NZwiaNO+/UlBHj3ExTgdRD3ub
Arm25po8za559Vq1rSAP7aAbHM3c9NZZlnyp67Fa82wVtyMA7wNzpTrAeohH2WjjowmFBeRJ1kMa
bMiiK/vGctd6pit4y5m5DgcCVnoXRrfjj8VtJwb/FTta+Tr1er8dXLibJt70aydC95uTxLuNB6PY
VWoQz1gjw4NbWKQvF0l/z3+KbTN3yXNqWETX9MMcIIbzNnPhOruhk/OucgckFt4wHaIYpeRqIClt
GykzepiwTvWrYUZxy2UPzGmyeJvZvrHDp+aC9oWrlVt479mDUMQ1bdhclEleXgR350InxA9qOkHf
KKSiIFFZdgLG1K5G6aQneluRu+aQ51w05Zg3hFBrD1Y7mPDR/Ii9xdOrrwQVjRcXdevFEVV5S+Bc
c+uB9Dzqc2HsLcOOz2GtN3sGPIcCVKrqYy8QVaPAZLWjAqloMEcYhuFuHIrsGlgoMvY4NxKodgyv
iIcGLz/VzUNnYk+kN0s/gJjBd5thPRnKduWvw/xzrFKSptTsQPxU7Vy8FrocrmbE6ueZ4GnCMNrx
VGLMPBfgiJGE5slZOET8rRrhWdvGSCfo/IUXr/Wml2chh/CGdqu8c5n9obkxomnvFKggHHR7m6bB
pe+j0rzthri6clHVBzEonEUPI4+g+uAJL6tIXoccV8QBTzPC8vIGjvMDWtxVPeQFlIPpamxdbQdA
Erck28R6YqlqlzUrclm9wmUdsyIjhoCjad+8ZYXrl7Uub7DpDY25shGGYLzMnd38fWHsvi+SrBQ2
uHZWzmZZQ70mZp3JE3NmIYh1BWGJ9RZ1afl5XNbgxrTHYzlUrLnSBJxJaDCJE8PEik725n0v6uo0
60b36jADCCq83PQwGxMZ+rIxpMseAZoQ9kNuIFDOlj2kxhGk7QV99ARE0rIF6b5kkuhrk2LEYtTi
cdIr56aVuR0G4F39D0YLpL15lZE5O2Kpm6PWS4TXyz7ZgV8OkNGxg5Yy8t4HmTpsFTzTFvtUIk9w
oHrWUAIa9lWIfTaE3pwEzfctHXAINxaudIy6Lum3BpIp0LAtt4gIYU4N03KA0DhJzMuRwvt+uECE
C2W+E04QL+cOneNj6Mf1mvw7ZIphTpYyUPbxVOQGWS++Nh5CB+E7vLECEaeMgx5F1SHtOlOtOi8m
6LH37XU5Vt24NMSyK8ds04OlKrApUWE+xRWxgWBMvPtyokRbNW3cbplI+l/rWZq3I6OPL33e9bdJ
OyWfNRR4DyE99zaI9E4cEE1rUOLh16OssRN6cv6AbJsgh2tXs7o9zYjsijMdisCBpsViTjcdEqdl
fJShLK5V1+Nyl4No3hHsPOuMiQLCwJb+P/RaIgs8Y+fRbHwUER88pWo4NJqEThijHwdrQrsfhDKm
ViuztVtnrqyDcEcIW2nl3uLLddaJYOuiPVc9SphPCZI64ussLSFZpSDGB/xB7xFXZchunftj2l65
pCZv3H7wSTdJ9PfRn7svVlVKvmOk0WgyedG2w4AdeuUyFIA7jCTsiZR3ZweJgbcYR2NyRERHW77x
tKNf98OelIjxmArmFItXFisawdQYATT9xRi92xln5CPidJRVlQYOD8bWETwbjN/B9ty7eDKz19SC
xw/FwyG3vSnUe0TL/VV2qt3ows43fpWFO/7Ku47FebOI1DaqKN2TKX0efk2onK1cT+60eqEiWjnx
yoCvoUoMk2vfLqmVITiLteOiMK0kFXc6f9VNjRGRqghcZU20tACjBeqhRNWbxYv3XLWZfeyntrsC
LoWk3mDoNsAZ4IfFfBBmnPEBFlatx4F9wxSbUFDfPfq6/Q0h7/s0ArZnA8spkMKqPNCn8njb0dut
yrSO7hmQTjtWHg7WYaZfUiISSAsqLoYtzWe7Nrp93+XyaXCc9Cls9eYr9iHsAPjC972aX5HyXyyX
+CrkBI57cOzqynSHm5RBH4f+sVt3ZFRs4N/O5Lfn2Es2ek9UB2M2omDR6Nny4LmKfTfMnCOjD2s/
K5luDKChL4nGc6rPtnkaB63DWOiGX9Cb2rvI9dKBkI/lWD+XIwflEU3bGNsfXReHO9+uta2LCPec
NEVyQsQbTaeu1Kp7EG7mY0z9Mq6TalRf+wy9xNrKWu9c1iWrTR9Z6QNsTua380LETGEebwVhM0yG
mXj7qYR7ooWOmwTCb1z+rwTw5ElPHKGQzdFElsr70/LZ+zw8gIxITyB31IJ0R5YAFBmQDOXITea2
8b7EnbAhoabFBjaPFE4WKiuNMdjo++Yucfj99ILEc8FJMEFZOPlXhKsS8C6BSVtGJ17jOjF2ZACl
q5A8uG5V5BNvbTPpLmUobJiVrFpwku0LIoarWejfljbvpjdC4031mrhB2ML2KB9bqGhMLmCo3ZtR
MxVwMJP5I2X0vrJi71KokkN1x94+m6URDH0z7Dy9JpIstsadvkTSAfTWL3ATyWMCqRaj5gecnDAy
IU7AlHdShAVWAZQ9GuA8Tz3SnpgfXXzwcp3pkOKwXp+RbSKvwNSV3+ZlZV4h00VpvfCymbSbsJMT
5QY2NPZy5wtfe8BcZ91aRjl8s7P3sIXOO8gRdmw0xy6BDpO9b5KMY5FWXhUMQWy9Jm+wzYlzLPN0
R+ZXzSpiUmOMrRYUzseEiizd+tBIUMtN0E0HXxiBRLqhBqZtHAhPygS6o3fPXvZazfdTTIiozeCj
Ls30W+pE11lWlCj/pH4nnLB+4fli82L+fjPgrTvlcSmfCfVgbJrkdCFgr2qAqnmjX2anHT67hW+9
hHrmPLnM29dKb+1DyzTxyE4Qn9081NbIzcHKhznhUlrLoSKNDqpJmcKIhLQUiDV3CF7ce2KwpleC
qmd4pFFxaGYbLFfq2iQTwQMioAeII/upGJ+ZjiAtL+EvLmCAeB/ZTkEE3FRvbKZg6Gz88cHsQrlz
NKT9sArtLf7xdG+DKMCjyUl2ysNp0yfGuOcMqSOarDyXOZylh7dOXsqDXXfjNso7e5MRZvO5STj5
9Yh4sUJ1pCLbjb+P8jwGxpVM0BJCUC1cA7rCCBFoj4j3uaYbitBkjKI1ualk2rKIrmBQzdt+2XDh
SaJZMLLPuTbJY2a33Q4ZMAeyDEQ3uVTU/EjUHnF/tZu5kxWCT3xsK2bYcpEfCnOtcm2Ag9ZmvIFZ
qbNggzTr6a7zZnEp1Vr5BT/Rq4IQ5bC0LlOZtCh1lsCXqLT2ccYKEVpFG7QKogdMoWJfmgwDFUjL
leFlBCGmqMeDYaiHdZSRU9ZlqGiMMLwqGe+Wfvzu0JhJM/0QYbo34vDUFMzkzQyzSlfFDDvhiMew
5Da5M09HOnxlwPHhnrp8bfr5wHdbjMBatbC4ipFIr4uhFwF9gnmTjA7JmGZCEh9C8vwUe47gKwiN
w9BUBlC0PuXA0Jbf4hC7kjvgnfasSVtDkDTkygoRE5UA7j/MvMpeysRuckz7ZngPMt/HKOnmt9Qq
6mQDID+gI6azhPzFuqQghtdEfsgXetXkLMi8OuGjS6n/ZLqXTKj3upXkO7tv6nMJ6XTfJmA04eWC
fBZANm1/RjuSGjveMOuzoly7VRra9hLByyYp6H3EqMQMHceKSrNTZTrHsd1PHt9nV/oviOnW6Cu8
e7PsfeaIIr0AIrEPdZbnZ5G00ER4BUnWhUpvuUP3xxDwH2oMzb8qhUHc0gsXuk+I+i9G9CEtzTC0
LW+nTVO7wXfgfmmiHpxb7ZSeD2iV+pcYgwhKSIk5oWEKj/o7lhrg52x6d4nJa/B7OfFmAinHCHbp
V9LTge7XYf0klS6ebRyh3zucOp5KMNkjDcKpcr1jggUTzi8VovbHzOL/th/9/yOn+dIe5+b84378
+S1r47eP4etX+dPE8o+f+7MVv2AjwT74wrXgSdIC+Xsr3qRJbzDnsT0HM8B3L/qfrXjD+CR0AALo
WXkQIJlwGX+OKz0M599FqtRYqBgpzv+VceUvPSnXZ+6J0VfoBr53Zl3+Ykj/oSflVEMYNxZRhe5A
gnDR7igg8nNUNK/EdOBuETq6uIWi0nS7EJYzL6l+oemon6u2f7aG9KWTDQP/eWmh991e1eo2jUrW
HtdYNIxawoyuxVzt5M/KW1DifvaM3znw++kIw8XkOV3yYaW2NhkK/nA3/qLj9vOY4fuH8yy6bTrY
brBG9i8fDgZ7rOYJNNxYpAHwCzSX38pG3uqu+CcDu19/k82ddFwyNkAEGPjnlnneD19jpDWG6Gkb
Ba1BoAkedhKkcQxVgUHe+e8/lPWrRJmmHLN0NiYXTIHtmgtl5IffNbnJUGgD7UryfL+IEFaYKMon
RQAQMjoDKFkVrXO3x/1XuzIQPZHOumuTYBHVMZqkgcDyTu7sBI8ORVxZFleaY86B4zTPkTacKle8
mXFgY/phMFG9N2MxgSyPgWmV9Xmyo2ZFOQ3u0tKPtLnag0XJulY9vlZbT8iAD6c3t59f6jp5tWpB
QHOGoe3334Gx3Lkfp+x8eBgb8BFcJqQO0u+fv4OQ1OB+sjQ/qDxvF7PpG8UIfSomLaXinF89y8J9
0zzSKXEiE++LPqcvPsBBff39hXz/RT9fiFgoQBaKdhvgwvdJ8o83Ix7HqIhYi3NFR4FcK7Bdmnj2
onaxMeVfMOOe7JQTfp6fmg6HJBG3ZDmKHXlROaHq5h3m5oeluEKzu7Mj8Tan0WsxYejKnft/crEL
kejHixWoH1iEqPQX+T2Ly8/fWknkpJahJ93o+sx2y/4t9OHR7vWHWnOvpCK9oasOqe/uZ1wYSa1f
ECWDo7QZY5EA08z0PYELCbbd9QziKHYZPkisOr+/zv9yd7lOH78up0FeJaaYvzTKnagWbpIILeiT
/AGHKjCsohjonY03g9Mh4msZdKUDSnAXjR8+zNe+nkluJ8wFGdvvL+bXSfwv1+L9QnmiJWLkucAw
FUJ2GiWRnHiE8E6h+TZ37T/9dd/XpF/uEXo4niabOwWl5JcnW1iLtJHJS2ApKmOmNOzeilyhAvXy
ZD8YUU4u+1RUQV9p5A0UIrl14+lg6/GrmDilptjANtFQ5Jwdy+cl/iSCn1uk7eNMuNCJuQZpzwik
6DEmdz5S5ECRZ6JZ89lTLXHhLggLCUQQfZyJLbcyNhhIT56Pp4iwTiCzdn3Oay3ahlPerKQPh17h
YSQYBhmvU4ARMZvI2ihrvv39jfh5iUX8tdg/TN112avQ/rDv/bzsWXpODhc3Yp7tzWxHpK1cj6kH
r+nq97/I/K+vidBd5t3o4vhF0GB+/k3OzIS5DHmnrVSgpc2+lo5B9QLxAZcaUCO/jZ/ScXiw6/mg
uunemsyX0CtahoDhaxOicXbaD8CBq1LP9s3/Ie9MlhtH0i77RCjD7MCW4ExKpOZhA5NCEZgBB+AY
n74PlFXWlVHVmfYvetHWmzLLjFKKQYLu33DvubmJc6q5Gat899ev8z9EIuzp//Q6l0Lz384eHRRh
ZEq83eHsnidjIGpboClPi9eQCxozXY8WU/YJjW5MUuJY3jQjCTqerF8jIGkMkmdgx3YLvQO88d5K
k/6maZtinZpDtqcYDXdR7dpHVCTZM9Lgiig/ddtXbN9s2YHCUAjpNZNEOLCoaeDq/bTGBIiavbZB
MQ4T5IOatGNW9N2utKuXUaUfYbzs5uUwvU9O92zOHvY+KodfhexBxYdRsw27OjphMpm3sE6f//o9
+8+HiGqH7p/SyuB/nd++zZnyKTes0l9HTsiKkchi1QeJJXahNLd//at+Q2MtD+x3zSGsRVPGyu+3
e3pM9bprrcpfk+JnHbtufmFPap1kgwSZjRAQ2BrhfjndtNGvSNDiVBYtkulzwQ6KKLF5Mlw+FKe5
Gv70Ny9u+d1/PmUEem2+tT5fKurc3x7xPO0BYrASXadFfpxQxDraaa6f/uYd+L1SWYQkQM4XdpIh
DFP89g40ZhZ1EI2Ai7NhwJs+7idi4Nahg9ohias1s8v7IZLyI6+dp3SY7hzSOVO9Yhphl1gt50Ky
/ktKDEDjlclEfM41BEsNAJ2/KSj+2yt1PZtLkccCbcpvh4tKrTAfHdjcnltxqiTFtscczZwEmh/A
SiA7Yqvr4cljrP/Xb9LS7f3pk0C0YLroEgVqRsTUv30SrAvUXEUVVHApnsNBcMQQvu5X2FrNe6wD
QVLUf/Mrjf/2O1Eomq7tc8OCw/rzweEXk26LzGGjX4c7IO9oQBI5HqUN/s5MKO2L7kcMuYE0wY80
cT/M2cTXrH0qNFdBrFXVrTeWv1JhHYxKBEn6+Ndvif0fB7BnUkz7FLiL6Ihv0Z9f36jVBiMnpZHm
0a0TjA+hE27DlK8L7g8AutmMEIeHaBhNhmvxsZvd97Zqxi2gmbeGxQmAbvveHPpfQLC2BYHaEfRw
MCzJIpXZAaLjqqqYjcnqh8t9izUi2vaR5pM8me1maQ9HZNoYUtmzTGMHRNFpf06F/thN9hsxTet2
Krc96Fk7QpbTW+CY/vodEL9LBRBgIZK0BEUu3x0E8H9+B8qEiaZnxGKNiefRLJy72av2oiQEWMox
Z1WCn6N14hs5Rjm4A/5NRQJcM+XtBq75vWqGe7tJuQw0Vt5JZuO4bbjgBV4/BPKC9ce68NuBNLjm
HJG7tkBdp3UNTaYZXGNZziNGt4c1uJEP9mIl7EXvobfw2JnJjQETP8tZBWHy61PMOoPOagngwFec
9nLdmTXEpGTd80INvbjk+Xge0/Sc5ZmDPcH56JVaaxZUkbQcdkq5NxjAdjU9yGbEV7/CRjFv7dIy
N6NVEy2uGysSSRmZFSP0hgzvuN0GsOk1zA8GAy/5g8jeS5W/CkDmifr5Nx8F7/Sfvp8eGKRFjElr
h2Tu95Ohc8uwFHib1pYZ1OSUi31f7Wt2WoRQff+m/58HKC6IPRNhx7+95f/B63tS6qP5yGKk338a
ovzvn/1jkOIZ//husfgvuksRuGhi/6lpxFIskBGi++asWG6ZfykaDRzFrDSZrVjGAoTlhfxL9e39
gz/AZ4xiHH3k8lP/A0UjN/tvj4kBPNBAG8noAGGPrf92pNL0LiwM19xFqVPkO4xKJF/oTqXt/FA4
H6h+zDuDzfeqlpnOoJftFJKSyTW3lo1GZXDEcCZPLAmyHkNSiNGSqMInvJ7rsicgTnBcr2MXEbdQ
sv+Mk04dMBPhU0tVpCWEDpZWinHfmQ/ahM4h8ESig2A3rG2parBNSKqpN2y1T8uOV4E8PF5SDEaM
y8NeK2Xzk7SBKVAi68KVXyxeEvKqbnW6WuR6JBMiPkzWmuAwLEyESbYqkk2rUg/anoHwKp6BCoPc
ohm3/K90sWQQYT3pW8AiNlEknf6A5yO5ZNKtd3wyYl1YI192XHjzUTMSUA20EltzFpCjrDzidI7N
5iMH24otNGItU3i1XaygCWYDGWE0Jwx0YNzAtiBbTlbX3rPlp17k9a2d4TTmSsArfDMTuwGWLt9T
l577HmUDDXjMHh3KYHdl6XHDaoBW3RZqa8HGmN2oOQweuRjbCu1GHmDHlDfSA72yjjPEdooDmzBJ
aFT62rCTO7NKT002eivpMf4JAdfVaBmQHgL4Rtuu/EbvmXGZ1Qcm3ulmahpwc+kIc2P25HVuja7C
pKK5j7md1seGTMY9R5t+A/csrwMdzgNJyCojIsE3MqRDIwdQW4t9Tmn11KMcx10DAAEj0dy3K0sz
zrrwtEOF2+hHa6kw6DIH+DBPGiFM5SBehtw1T6XZDUhWYvp4l3dkE8KX+UrcoWE0AMLKjytRsqHG
B49Yo3zHT+heROVhBDD09LOR1RukF/Hm+7PYMX3K7ovM7q/gKtxngL2EiCaxDvi9Fuc076J1TYAj
GzaIexXhzL0+lqBgLG3v60O2AwFk3pFXqCdMaopKruyMJ9pZoi6I7yRvLc5uyPltwcNnJkndghDM
CSDStHKMVDwrNt1m0PpDfAB5Oz2MCWb6YmiNq2ksu6XIkf0HtfBwRDBvI/tq012fzep9KMLhHJZ+
u4dXYD0iPQHm5w3VcLHI9n3PXfRMpDvMbR30o+bUtz4oH2ASTN+aNZ1jC3ow0zaZNbBjDwdPsubK
xl1J9hSKD8cdrr3rFs82Ii8cThofRZ2NIt60SEppmQj+PQGjrwOrRbwqUhOxf6J7F44LeoMsMZNb
IlJ9LON2fh3UrM696+tXEF7euKLWnh5IGgWglqkWMh8V0w+2DdFFVxMjL9NITSqUumXJI3R0mYYA
SxSChwwGA8EPv7RML/Ql5U24iJlYCHQbFY7lRuVGvmaGNO7Ft/5JLVIobxFFAfmT53gRSrF7G8NV
u8invG8llb+Iqsw0NLeiwktmLJIr/Vt8tciwgL8NsNny4t0h8hKVVlj1VmBOT/Jbw8XWOnw0msL8
NBaJVzjUPvZnZF8OqQPrZJGCJYsoTCQG361pkYqFUT7ceYt8DDfEsIiHEJVJf9EnTe7GEGqvLcIz
UfUxhJlQ3/uLLE0Jrb4arl9cE0c4z8y8hmd9EbINlozQtI2VuQ8XoZuYOvPSL+I3I6zZxhpySE+s
egGWKoH8dxHMEeVl/YL45a0rY5DPToUsW5Nj80zOOB7ab90dc6N5YxmTu00XWZ65CPT0RarXL6K9
mgqtBxiGlA8FWEhm8KLvsxapH3wjiyF8wl51EQKSde7hJ2pmhDKpcWAW77+Wi3Swbs3uvvab8Mo/
hge5SAyTRWxI3H28VWZZ35pu293ShJWfEBz7rW2YxbvZJcTYe+zNAGsnO3NkSj8u0sYsdRVBB4ve
0dOAaTaLCNL41kM6uOeO2SKSlL2NOHoRTiI3K65yEVOmqCrNZvQCF52lXASXglutCKt3wi7RYk6d
uI/gKESLTNOLRfRYL9LNskWQ6zZoBahYS/IgqB2NjTvNBWnR+dJ9NfYwbLXJciMADpY8S6GpYF4k
oyDlmHN7Dd9I3Sz3Tgq5ooBUYFuvoBGPTpdoN0bV7wssiiuRRDej1jR7juqNMTH8KFI0Y75kZqga
/FIGcekSdZ9KgBih8smPmaVanXQWVaB26kqSdchy3GYqzQ9xR9hnEJFYsWE6jhqqad4hlHAyd5Wo
A2+wRpA8ujM8NABe1x2+9o1ZD84WtG9/bxF8W2y6qPL3oyGnTYHnEV3TCJ8/vcfSr1Z50bVXdvzy
U3ZWhvPGlJ81Q7/jKHl7Sp75x0IvLJ5Yad/ErSTApgrl2mhJuDEGc8fwbd67/Thj6DHzV2MMvzIu
LWhrH/Eo2j3TwQ3virZXFaJ1OwpAmoYHWuMqGG3Num9R2B3ttNIfbOL5CN7U0vFC0AADHdNzOovG
WGdjRL7kFjwuEkNT136NYeMeDbNqnvl+oOP1ZLe35sVfFHXVV0Egyt4zpTgqU84fTexghovLa5gZ
zYq8RjBdfRE+8AEUvKeA7FklN96HZ05qY7d1fGtEI6i8fLLWUTsaO6nP1TW3Sv3cJknxOvR6v+nj
SOq0PH1PBKiJDsl0Fa57xq3+r4KGgxZW87dDltlL2HHjsqjxhmRjeKVr79wyAdltl9q9iLIo2cQj
bKZyHDsdMTK0l53ml9U99UVS3uSRpsVrrcjxwnIMBPFBb43ZW5t1nQ4Xfxyb4+A3+R3si+RnwYkz
rWJ78aGPqPpbAoKfrKJINykbhcDLDOOxFX2+Hc0SHbyXCWtfAHoluArrAXEs+gb+DahjzyTIvUjM
DYpjed8OA1kt4G3J3uIXtoemGqt1NwI48HQW/orSIoC/GAVNO4xfA4G5vwZpfrWJ07wL2Bau7NFk
OHZUXXwtckF+dmyGYFkGZWUNZ2Et63ySz0/orAh6Cyf2TC0RT0PO9dTqnXW0au/RnIfihFYz25id
5q1DpBToYbHI5wSqrp3cKbcxiOVTWpbDRRmhtgurQXtQUPZ3g2O4QAhK98ZFg/vlWbW15Tsa7cp4
tvgYuuKRdbV7k1hedNWLmGCNuVdbiG9G4Ma5S2RG1JytkqszSE2WE46tULOZPcyoSRPgA6FZHZpR
1J9G2o8bjI3htUiaDhAvc4uGI2pVtalz21UJ2V3klW8iJttEcVlkfw1eiQU+QSSxwQqM5o7cRuLc
kkFs4pBo+FSJMKK6GvDc+ZV9Eh5Je0Yz2nvCnIyHUPnxBr2Pc9NpJnGQiE132TQYz6qJ8DmZrbXP
3H44JHlYXcVAVt2qA4+Nb1zXklcnadS+HjJ5r1uWWo9mEl2gFkC/FLP9zEWX8/1D7wQ7zTU39kBQ
SWIQE0zCb8fRIstfZH95N27r5E99VhY7V5X6psahsJ8z2zn49WQjXwt11O3SII4v9LlqJvSYVAPW
OiEw/dzq6s7R2y11qn7OgAXgDm1eNODE9WDHt/2kvZWEoaysqHKe4Ju6K9drmnVS0bRIV7SBNHWG
SuSPbAgxwRE/2rirOob46GcKzF48GMgDC5UP90ib3EfdntG/gPTlbzAKxnxt+Acz/y+0F7+vc37v
05YB8b/NzPGszCyOkng/Lm5bzXIA7vW+OCJWTbamk1ZrhhLaU+2b4yPbPv8VV5K8mPEcnQB21m8k
BKco9SjwV2xNox1AWvk4WihSdDTb60xkybpofO2Ka4ChWe0lwPLQGYPh8e1F2EUS+it+PU2jqCn7
IDRVuZO9sDd2mZ08L9F+wDKM1pY2VhcNhd6eHL/nrm6Ng6akswlr33g1u06clIEUOsV0j+DQ40ub
Oc6tjcJ4mztW46yL2psPTSzEO5V6tIPqgssiHT6q3rl2qnuwqVDISiWdDk3htMZZwWKyK89hks1n
lh6CCpwYk5VuND44mj6O3W0+gjxd6VHjfJmqRoyrkanA5V5QFG56zaheZnOh7hHNmHHExm5/hm4w
HeKaanelItO9q5ANXAjcAs4MGCC8mdAk/XQwkH4hdexhxGhiA3PBvK/mDC+qFjPzw4isb6qpd0/Q
pLW9YzK3btO5qtGzd8mMsEUff/bt+NqCC9gStJNsMTzlWwcCCWM9eidXfut25+QmHByvX5PYrVDF
kQi96qq+RdE2J5c5K7mh49I8hvSv10RvWIVZY5/c80X30V6Ow8Gs7P4wL3hrI5naXyycKQWLYRgx
oCySmo56YQi8GgV54BladUY+lV7675I7/y6/UQVpJ25hivJUDu2GN9JktJwmSCOGOL5YSyVvfRf1
wF2MI+sMKn099UfOB+r/QfPU2V96gmzpDhD3J7egikyEdRHEsjYdDHbgfvuIvak6YTSi13CpzDiM
lhbE+u5GuqUxKZYWBX8B3Uq4NC5DA9O+cAcTLeHk1xurqzWirLWWHPql5fG+2x9DNKVE5iHGAKi6
Afff8TeTLVM+8IwH11/IMpFjiA9Z6ubK91jOI7RSVxvv8G7yphaox9Jvzaxs2R2761yT95qZJHup
8YZZYPfvi86wgwoRYQBadNRWFaXwUaA/OPXssrCyhQo0cwqaIvYow8ACgmGOI914MWvHCTpUIVff
G8RzzWcwrfSlZcyW5jH77iOJTswQwykmBTSZdsmglNQ5Ok/3uwv1l4ZUGnBf66VJ7ZZ2tTPc6FzT
wcqllU2WphYiqzjzIpdGl5a3WZrffGmD3aUh9pbW2NEi762067exhXfpLg00WZzuZV6aamK9yx3B
l3Ta89J0x0v77S+N+PTdk+dLe14sjXq/tOxqad7HpY2Hw0hHT/RPGADX1X7MS8OfckgXIdhWRbQZ
i+PvycCyf3nqlnGBswwO2MP5f6NGsc3fB182EjayXVjNIkZhav/nA7VFw0STUGu7SXk2rtDkoOC0
bJxJ8zfY4VgH+5Zz1W3FlsHwEzNwks5B5imMt9aL4xJ3jIi+JrjaxyK3J1yFRks+jOW/UhhUz5Yn
z12CPrPTfeb6rTXcI79PUDRrMuMzTa1+NREpu9cVTecSjmuItRtp4th6wKk3auJVwSAFEQpAEq7Y
3KHAL5SLLH9eDrLs+0xLv8+3+fuss7/PPdIZROAvh+G/DTevf0yO/8QWWBY6/z5Q/uMGophGvmUi
w/hta+s3hANAQvd2eOAe5lfrtf7QXuv74ba9AwBUXrT87wJpfl9u8RsNHU3SIkziqBS//caBAUvh
qiTc9a4XfuI9SFTQIEq5zcZkNgMqaXlqJqJWyWjN4k/DmdUGmnj2azZgn62mKQm3xDVMfJaCinoz
hxZ3uFlJoe9mACovrZLuI9Ynrjq3rAYjyGzhZRuVTc1+rKsaKl0DTracxwOVDOcT45QVu8P7bpwJ
laP8ZNhAXmduk3s2tWSIwOme37HihId2CPNDX+MDVxjengBVNecOaPNdXPQRuLnOmE89BfFD7JNk
ZQ9JSt7qMA5rNDXNsx1Zy/lVmPnL/5Vh/f9T+AHUjpRL/2e5483HVzx9/Ff4wB8/+s9BvfkPBI0M
3gGn6Q7TRmbl/xzU20sk9yJu8VD3GIty7Z+TetP9h8cP+IzOFwe9WAR0/5rUM/cXrsmm2mWVvggl
/yeTenCev5eA2E9d13BxOjGr/y9sDVJAGHbM7XaxO9trvYniHXbl+EJ6L9pGRxkvHkGOyMRnkZ8T
i6L9iD0XojsP10Npm8mlqfFqoEea7C8W2kSqlcpH511R4TBRxGvyHLHSnVZcaN4zci9zZUrTXI+a
pdM65fe1bY1PwqmcQMVdf+GmfAbxwkUny4GeRxaP0VyWXx1rj0tDOs3etKV3dMkLPjRR0V2LbMwZ
9gqH0Uubq4J4hFibA0W3vIuZyOlBqcr5hOBz0IOm86Y7vwt74G8J2fRHs6nvy9Et5vveb7FsufFc
PEjdo/5KCbJ4KIwKGht5Ica08lFGuyskZXF/MKO8r1dWH8ovTfM6IIh1CbvQKsiKO3dj6fsQzDny
NhNms+ZumjL5ZTd2lewif8z6Z82I/K9qnsfPeSmI9mbj11iUhZUFUTpo7jbx6ZrXGtGhxcXxRDkc
Z83pf5EcqtjKx0X9DrvPeKxcYl0shDZ3pj1hk03TQwzhRztKLZb6DlSp+wkehErNcuGErOqwqSMi
d119RsdGALjbNxVpC5GdBMQsZUukpf5ot1XyBhQu+qLuIb5Sb8Ut6qpJQMesFTiEIbIDp5DDCamD
2pWsfr1VBqZwx7tiG4FyqJZzSKX+ioQiNoU9i4rIUNHZyrUie595OO5BrmqQ5PRSP2po7lf4zTAZ
zBFZqDKcAFLoVpQEsqNbwoALTtECPuPYmbmECgziO4yH7JzsR1fwtFAQZVh3iwqiWBKlD7idI9wL
S42e8/fuvNANUm024iCyx+pDr5apbdJZv6K88F6okXnIDYDw1nssBeMQmfeB6MZPi/X7yo96bc+i
gpKORPadThZgvFaFn5xcVdxL1ELjqmzis+NMzt0iN3xrmjy5iQYSemEczfGuVsL7wVwXU1uma/lr
34wdbZPp4P11mdJHyDxMyF0dMerZNxjDI4mb4NJjWxJJLjwmh6spj9ozyE7g/GV5j71L3ySVYaOV
TJW5kpbP4sTu3xpb4A+QPc87CmaHGXXfZt7Wq0LP2uthMX8Am+3iF5ZfMbxpYjMRyMXkrq9GQxuG
gy5UjJm6m0F0VIVOdB4UKTocbF3xa8v0hKLBiFS1rSxBclA9oRZgIbS4NnSPhdjWzlyTnZ02GEQl
JoaAat+4bxYEUEx8XiS0cBcWnf0CsqzWbh27jZstcNK4247IW521zbx5CtBaWw4hMeOkc4HxQTNa
K1mFkNUTleOtXTMVYWLvYVI16lQHt+vz/7qPvYFUqkmg7n0hU4mUWV2QvbQNaQmqIBlAmgTl5M88
ZTNsDZh26pFIYefgOX5UP2RtNXmbRFN++nPoJ3nuKRL4YjuQ+XHbG/lzwws1A4Lts5/5wE5rY4Vh
I1cyg2mHlkpAJiRwmoST1tNI1YZBGvbrYs6Jj0/rAJ/HEG3CVGbtgScTX55MmG0ZfmPfNX1S3pal
43y52liae+oYPzl2ttN8Wn7egFWMs3qh4Y0AdvkjDonRfGJiZzyxDwSgoGeGvaXujvaOLmv0KR7O
F+HAPAlmQM8mciMYJissP6D3OSAZTNA51FXAX7FYG4kMCQeIQfahkMvQUKdlM7z1fend9JlTvlQg
GIvV4AzTbTeY2ZHkX1qxBhnGhnMo0tYjq6e9a6jhpvdr/xpqHuhPL439baq5450zAlaw6Srvi76M
QS0qJ6WfLqPqENYmiWMyH8kjqqfkpNQwwsFo6kcc5NYLReqwNRoodHPpu4eOxE+1Krgii82o6Vhj
IxRzlmaO6RLJvAQdeHO306fOP5MIpAX4wIgcwbLZMX0s5UVTVfehk4H9zorAfm7jZZ+Ix2eL7z28
57ZMvF3NWuuxMtLxs1aJ/cXOcXgcmmLY9k754HMsYSmthd9u4r56SDt7TFftHMtjDXxF33kGKENs
1ta6aHuKfNxBLPJsxbbHSX2i4j3yUJtVm7tvEavXet21ZXvK3Mn75WPYWpUJ0i9kjfo+Vap4pyZk
GlcR+jXsdbOzNnkPQyzHbrQvir5iWp8Otw6gE7bqFVnb24mejcM1Mn5KuNrnDu57HJgl7uLzVFiz
XLfNXD3V+ZALMLOEHrOFk/ZBQhs9Af2GulgJz3ZWk66Sd0fTbCYik3WT1pl/KZuM8hbu5w+u5uYM
jKR9S3vH4tkYyUuVYxadCgPj86pmjHbvWGNzz7CWf1Z27194Leod263+nBmti1MH6Mm9Ker4kDiT
BPfoCsaV6U/wdfkTFp90M4RFom759Mo3fdZn9OEKYACE6l1l2vgqK/nVi3m+xrAZbqlcRiL5yuJ1
MnI28b62TLMrm/m00TWbzK96vm9itNaGnrh3OtzTeFV0/nRndNosHyAJaEfTrpp30yh5wCKyIEDx
VnXhrTGD9QNeulZ9unVvvxN91t+NWImtAx1s9loNURRdJmavfBlTu/yshlb9IAyPPLR2rBrt2IJd
JfqdIQYpelEvwKNPrHMtJxdHydIrhjiJmhnXqAPnmv/aErGnCdGvG0DuEIlr/jALlXNnp3junKHl
ZObDNZ5HZvMKuAGjkoCfLjBlRsjEJMzl3TQP6pdT+Si/CH3mBrPi7hfbwv6AqV6eB7cRR0dL5F1W
VST/tOS9xkys+/Qpx/O7i4lAOyWMene6G2KbbrAVr4wmAamKIjwOfLflspl4c0i8YzYM0CXmDxeX
qL9v0qJNt3Ky5o/aL1N7U4/W9JFMWvhDtSPTvrbt8blHnl2zPRmZgl0NuDUnPni8yyY/XqLtBkUD
eY6esEYTfk9hGq/ZbhMlZideJHHX5DMPK0bYnemn1bufdQXfN6sctqM2JwaecohFCmb7W1kpNmjJ
1JQfGeujkx0i7LK6rt30YdM1FHhaeIqq2nAQfzvZQfCSNjSD8xSkbEhflBfVP8hRIYfDqoRzm8QO
WjS/q1yA3tN4blpZPlY+oI5V01TOLTmrPSN0mbSHElCWtTHZM1w59ad10wh/3lPsMG9BUhk9Qald
zp2BY7I1AdFjdkU80oQUTey1UvJ8rHGq370k5aoBVT9fmqJ27LXE1fqhVOVsRJy2xK9AtbtYhEOQ
DjUURkY+IbYd4BTA6NjxdTBdcJs/RbPyH31kOF5AJzDfJlOs78slCHaNQtV+1X2njx+ysfOvtR1b
+YYDxvtS1JaKRYs+hduWm/laRpNzjPMq1FdJoby9VVlsJjMRA5qOeM/2egI+ylEKGpJjNIIMw5TI
D4+N3APWKBLg3ah7jmeVPKAf967gyZa8Rqdu73I8sP2WeYfTUpKQIE9l37vE1feR+4AIILmkxHpS
5HnZdHGsOvtRRKN1X0sO6r1rVYDNEs1xN07vaF+ceOmW+9ndwu9Nf4pplGtKIefJH/3K2EL/ce91
gGbYllOBkChGg4T+HUkj+m3/GLuVeMtEP18LvdE+K+gWD/oUN8nJbFVxKgn3/OV7eiLPrLSrELyG
U3xZ9qie52Gc9vmc9ydBml6ytkWsI0iEMl9u3biZpnVScgrt67pw98SBaE9uNOX9JoekRd6Io04F
PtZATImus6CUFnvbriHhzCRKV8+KISZkp59eZi9UmypOUbaLSdRiHRcJe1qjkmcE3oL5fpQ0m6GM
yFOJWv1gFN3rqLPVDREZQSGekJgyRnsPK31pplwoLrHlHRKwQ9xdkX3HxofkI1gBmLOnoVrpHF4I
beJnMzM8ZpFw8XkKYWO3/q9K2PvWtZrDGIXRpvZUvrXx0Ow8YDEQk6fwZ6jJ9mKbFeffBCxh1Yx0
h9CRdlUBrGagRLDX5ti7t5FfVdeRIeGhTmW7NSat3BstVvM6Et2PIVPyjpxK3Abg7HtqF1E92tx9
W9cb2PDmfvROOdMGlR/fJyVHc9vxQqcZjPZQA4kQfRWC+WH9L/0Gb1fUtefOjLipAXGth2T4Qfeg
EPjiDF5xE2cw4Qf1ldWlPmzSIYcinYL/T2sTsnVZu+o48IAEmjY1p6bGZ2xXWXok2qv/mL36a5Ya
tRXMl+U6pRuTcQkICTUUmzpz3tECRVtmcHS1CXlYN4SqlZtYOIRqwbJmtN2b2wQy/J0q9MkLajae
J7fO1JkgC3mYNFmna89p9IsDVDwAjOSerSp85LG/c4Hx92P3bM2DfUX27K08+MEBoYeMEw0ikvg4
+8AnbJHGbU7jmxhuexakU5c/V9ZIaFTk+jAkCrfjgq2fgFmPH4nMxivruiUaEvb+zTS7Yu+ag30A
lelbO31ke89tOM5vDE5RvbXNJSsWL3ir9h2qWyrAjm2bzqrxnaqTSS77m9d2qvpPObc3BeKvU5un
BIQaej5zxFjRp+mH+mdEuUEK3VhtIXZ5xGVozL+Y99+ip+geSOTknvNqZ41PqNvWecS0E2+wcyjm
wrzF2zc8srfs11ObKVKO0NO/1SFcfWWY/aYs4L+pyWo/vTKJtrkvxpPjh8NDGDk5fY7StxBRuN1c
194iNXNfvLKGvQ2bJ+rXfdPP+oZq5IriV9QbcpfYxladUWxqrXYAOGRdydzQFCB8BqOOA1BHEHmU
Zsl3VVA8rRHm9b8wWykBcWb0EHuZZUlnolilKW6Tr8bUgD0R1jXu0zkp38eIDQLDbjMPV0JLZXQt
GIQ/h0lfUX5nBMGklvluxpp7MdPc+GpTrTIWPWBBUiCfw6Gju9m66HTwy8xj8pzV4+DARoAA+CBl
WxKMF9XeRkauIskxr+fXPpYOsJS6P4zwsegXRqu8Guih3f0yIPmIHM3YIDAT7P360SVw01bcYapU
2oNBKuNKDb3NIqJjZJkL9WGywkEFZBR700nem7SKT1bbqnLDjgEP58Cchb4uN9ZuWDmPBB6rfVuC
t7qJxslACE2OX7MxW5STO1CBlra1Rg3AhzcUpfeMTsXUd5Jb01q1Yb6UjNF5GOSWMSq8CPww3byC
3jK3q7T39V+SBNpbFGfhiz4WBJTF5FyQtYLq6TUpk+bIBKeEQUOwIjlgKNGPmkit4pGQ0/mhVEYP
ZGsEFnKqyDse1+wUi00yaEMwMZVAloJisKgLf1PTvu0shnOCEynRYZcxdL6h6WzIEuTGAvCDkieL
AFnQmmmP0gu9M+nRbUAJiRmRpd07X7mkueXId+1T3RXpxQgt+0eedt4LkxkdYlxbUUlLZ1dmubx1
fAlZtIkQeiV+ZJ3Ba4I39+P8K9WkFu5rwFFAxmLC2VbGbCHozPyCnFWjYWCwsqSJwsyVSBbWTYKc
DX8AqyPciBHziLxuUV2MUtlrznUWNhJGEsT+thI6bI/OKVaJPfJ1b9N4goOiF8rat3RiKSitySMC
VPT6uskcJQK7kd2rxZqXUhlPA3dOm+eP6IVLJwiZWF5K2hf+bYHSIogLHswV93TmHmunsD8ijdCr
hqAHVl1EzVLhcEVNwoFKb4PIQ5Yi3c8MdtWLWxje6/9i70x65LbaLP1XCr2nQF7yclj0JoIxZ0bO
g7QhUsoU5+FyJn99PZRVtpSfbOEDuhqoRgMGvLClmO/wnnOeM0MYAKxcR9p16cI7XzdwCxrqAJqJ
kGHLERalqz5wEkdInas0WwdT13C9AzhJ3DZpKxcvkBt+stRU7Qq7s89ZQEU2l67c1bat0zkwMl35
hdrwQCNXRgLRRqQuWOWF+5w0GphIap/VKVG2eZ0TidhneVuu+Aab2W2hgeYcAhMfZlRz91gTjqIc
wqjt4gIjXChWjaK5FSsxmI1Nn5f4zgLqCPuQBFWQV0RZ6wA/RG4kuxSNHX2Ihu6P2DJp/w0mt3ns
JqdbYNmjx6t27BlsS9qiMznexACtTzkld1lk3LuOG/Ubq3VtzglpaJ7spu9wI8s+eRFU1TC3iEfN
2E6hQSt63lttffQcIl/Yrbl08fW0SSriapAGuJkxfCbg0ezyQthHBiJOTIMcfUpMa7PXQuXisvAm
L8Hv2pkoXY1T21dxF7aPygO2pAYdk083BbjGBnIh9jrVIOjyFesM0DR8VY7thNa1Aoij+lXXh949
rhdu86Ng+ZlsI/kcTEPLHEQIJS5YJxCfEU8rvqCpzI2DO6q6oAQevCTdFn03E8IZnS+17OoHpEhc
T2kMGGqVCkZ6iycSeH5kM3vkLgCcO6ULBAoV5JjwheJW5zSKesGSeYl7RpXBie6wfrJgJ6Fa/B+E
T/20oFPUl0U7O+uswK5D5KpTOgngvjoTUhsHhrTp+NEOEhKgjuo+8kuqxUWt690urMKmu6h00UvO
yw5hDc1swtfAiJMIW9XScwlnWFNrtiXWlbEYs/wB5ZBoo1fOYqV3rbLXA9uktdLoD9xZdlptNNGA
zugrfbqYCsgtyy1SC9dVPaoQS1CZJRsRxfONgI9V7XA8FDVXJq/xFdbFDvCNFVwOoxYM67pNZsw3
Cc7+Ic0Zf6X6Uk7Cqop66ebjVisHvbuYBknudkGEzesMV3q2jmudYVLj2KwDc+S552YG+bbK2Nm4
gtlEb4IkKbmcm1lt076CdWSlDyHDoqnkCdOy3QSXTVcQn8py42ufau5t7ToGk8fEpqhIK9vR1+FB
YQSLMvC5WlbVxaZh2aQyrFXaTchVw30U8TxBJuxBCbkJJlx3MHpty7Xeir9aVjF9yjiQyU2CGeE2
G13A7hxclR8NTnybZu60J+8U9dsI//NjFXfVaZ768DHJI07ShVsl15nKnivNDDZlTNThkLCJbIKF
oReqtg+wtQXFC4KO9lrG1XSfQFLUfGqRSOY5LLsTVc8oOKvRpcWTO+To4p1aZtlp733hMFd/1hM3
f5j1sY7X5eK64LIWETtAbIJrvLyiNsDWaKJys6hm1puhKeK0wWRuRwYKJ0Y61joxZXfd6JPosP6V
prGanWHem3xxb1uFIw9UF7+AJIV7QTunuKtVw5rdzkCtUhIU4ylSXbWdma+E23lw+midaw2TKGpC
CDwFVmfGe5evL4R1/NHMLfE/UMJsUCW5nWejny+qhRWyb0ZpIs9E6O2rGHLSAcf3XaQsG3+hMb3o
QbwxNQucsY71wlVzNkBqtxQ3ASWeOZONkr0tiew7mH0MLcrUrVZxbYf3tTDce86iIckVL3K0tY4U
hfkiVeqJKHL51ROcnFFemAOs3UbP32AZLlkTcykwtkeG/aqLFXEGVGMkZ7h42L7sfPd/V3rFLfbl
Tz78/yAcjQAgg5T69/rsdfdKLvOtrqcfg1Tf/9if2uzC4bV0EkpiaVIkEfUXGN7CHCC/l2As/+W7
OGvYHxBiyEyjQxCYEosH5Ls4a+gfFiWXK43JuZ3vnfHviLPvjQq2TeIRpA0r9HL2c99lYWWFDtdV
ndporvwYwAhsXNAzYYiZKhuYJhJfABjmORcUr3754Z36hS1j8f396Mp4/9DvPBIC20ia6o3CgIMv
Low40EUJhalp8HlQnKH++dHEexPIkok2TKpCJOgViyDaz66ZJOhx2rNwEjMG4hiqoF17CV2voytS
HBDA4MIk2fFJq02WddSMOb2zZsQu/d7unvuS/iprXlbQ9BpF41Im49rsMsnwO3hSSyllyvx+FZNN
MgBobf752cMvevdu0StA+gscGLl24nXWO9OPqDmT2KiemGJbcqmmSTSCmyhSa29NGw0YL7O/CSpg
ao7XHs23d1Ygr8S4bOiQztlw1XM6M5FkUPZRs4qLyLR2okw/hw5bOAOcQ6voaB4H/l+R00FeuFj1
woEygDJij3QndQiV0O+1QrdqTnX1HiXVZ1PhFneDH3CdAEbsZXRryWQfTsNnDjardMCl2OX+GOAG
CuP0xonS2yqbADm8TrWFNDmuPo0xtnlawyafFivnsqw9zjIG7YOe2y19tDZo/mahAbu8mBHim1Ub
5g60dHhvp/oNR1Zw9B6PbKo+u6CucHpJ8pZiIkJfIJLa+sRFdCSwU+jOiujvEiXq4qupdqAtZYPa
604abmGDjj6Yee9oaUNw4brpvLK8pLke+sDaz3nDGa8p3U+mLpx1iG5y5UomSp1XQYcvbJvZT+Bt
5BCJz5Wc+7eqa/Vjb5wGEQ3nQZ85ROgueTuKccuttMV8LDoeQrfnNXkbY6sVTvUax8lrHJb2gZJF
j3s7W6JlGzdaU1HsNUXkqbKPlDMeleU9hD0oJ4ePRjaYfgwKJbkeBDFRgwDbft6oS8Ml0NuV91iX
i994qsR7Exo9OxbmMxOSliNIfL5LX3phaSiOAcamy7ICRRwSbbHAKpCV2W2rHeF7856CvfFijjrt
U0RHMyLBcjoOYlVekBF9gPe4nvugOA1d576NhTvdmame7WjAWzqlG/0WjTB9Ah7XXTpjoH/99pv6
Px3+/Vs/0f/cTY1esR+Wn3+JB193RfLy+ecN7dsf+WNDc+wPMMzYuIRJIN7+Vhr8fUMzP7BCcYID
I+QsnDSW9O8bmik+SAPqmQd7gS1t+br8l9nI+yAtYSzdKdKxiRmLf2s/c9+TDNhPbSnMpYZF8s8S
QP7Rbr5IWTbT5WLXdX2zr420e8GxT42ECwIeX0hzGpQ+YYG1SmbpRF1lXiyRBfCwnl5QOiml++iS
+HklR4okZDnaFt8VI+IhGU9aWkSgcDSQCFIGR6yjlPiN84vdWQy+Yt/sxLSyx/xEa6Hl8yumcb5k
nlN78ZmKjpocWvwoSuuVwyclb6B+06ZSOzzcUJ5MHQOBqth7uarHmzhxjIdMxppLMifKjuZsFZdV
Os1XBYnML13KortgLj5PBIL2PN5wxXaubYWlYZWqmMI+Cr2H7Qnde21N8AFqL0g/yZze9nDmUQNG
nFwp42VIpZs9dNAyfLLyZjhoBFJ8xzbwbRf5TRWnJSJW1B4TglyHoXbHK6In7q7EI8CUqymNEdV7
7K4jbiV7LbWLUxkO3e2UN3IkoEZeCWa8eJhQmcJ6HO/ixAzPTWQNKwE8baflzrWwiv6B/HD4prK4
fiYZa93kOve3ktbo69hV5nqsy2qT20F81ye5oMRweqReVF1HlIKwdCh56HivT20exFT9ucXjEIz6
DjFj4R+Hsc9XY10TGHoZVBWfCf/REAK11/BWJZeDO1b7/OxU0VtgMeOfY/oRiEuoZxsRAcDoVH2x
5+DrlEzuTABgfIpEtccRfoQ8nm7iyjBuejdlNuUm6TW9E96zZY/VhTFV1gk3JoPPbs5eSUqDO01r
zA+MpuR5wndzLuZq2aIhc32pZKeYHgKKbcZowiZR49LVrYCG0kLtWcmZaxou9oVCE5dqct6C+mSI
Z5oI9A2wQe+u4aZ0zGTT+DTAO3Il8Gxv5nAC2IqBt6BfxiCFyLU1PRMhhz6ozdODmDODMReDmdAq
1ZNBhu6cTV4A87zXL0hh9H6Ig3+NE2fw6TWMmdhhILzMBwYPXJ6qZq9HAVMXbOfcle2vsIsomu2Q
cZRQ3paL7biOSjEeWs6IZ9CND1jBFNZ12W7hjrlb9jDn3ku1fgtgPnuxIw1STxMjjUlAquiqobFJ
artBMJi4nBWath4ngtzapCvfBsC/sWY8yiG03MvcLqe9UJ2zyzDsMId3roqx3uVmwZjJnavLgFY0
XyYuLCJ7tehzuznsVxXYlzoJ1nA5GOqI8rOMpp1hZfEplEvavNPTmwrU+bZaZmgp5cCWkVpbm+HY
TkD4P7lCdz+m8Tj1zHaK/saI1XBrF9VHy84/F3NImUZz0RTOl6Qv7OsZDAoG/KU5xcgDFp/lb8xr
11zywtm6mm+Hxrp1ST2s8oxKNw6Z013oUUJgDozzAig1a9Lbr6Ysz3U8jxub9CktM7Z2W0JzhnM/
MGcx0nlXp7ZOljxp1+VUGCedcp1jSR3Jpmsr560FSrS1S9u8rDuTHxPH6E2A7+eOrive1dHChTR5
47rpe260NKhs+R4XG9eYFkjlXI1PIdT6g+kkIPnShSigO+VxdEiUMw1odn2ZTIe0lFzVDc5xh2YO
5x1F3vO1G85yGzpmQ51xyFw6mEY/pLiJkAx2MokHh3K+iGJZT2UbLXAIcU0dp9ZOMmwGZfO5gnJE
Pjktp4u21o11jlCEUFkGT4yP5jUXbRRJb6AeQ43FkTGuu4/Adn9m6tOeOKnR++6l+i0/cnKvMS1r
K46DNt3jYjAf7D9wxBNk4vQbpDiwIsZB+LvcTRQTxE76BNIhM8HX0csfzEGpTTXFOy3DxMkbsc+s
0vHZMORzX2g3XTOcJ+LFAZTzCAcWtLeFpAyNK3nGYTpv8sxN0MBaMAglkLWgzggxJtCFN2Yd0fvr
QWh22klSLo45sC2kft1QTpjqpKqi0IMVF9Dnx1WtSySsdxMgdmpaJ1I7DQdZ966Ye7Slb0BoWVjt
HQoNwalueE1dEq9DGRo+FbqXURHfJKZt+WmijSTR+nodNzTHt7DLduZCnzYlKzggADDvDIqZ9XLa
ZUp8E/XOQ2JXrbfq+QuQ+6rpmZAKxsowyKkO7e0AQ8CCv9Zpuwf+XSOfkE2ZF0B2zAn+VrfRrvnb
CRn39KyHH9uUVT+L703TOYs83FBDPqzzLMw3TavpK7lguKMFyF0vaO6xTK2Ds+C6A175k1wQ3o2Z
wNRRbnpgl9hTpVvdhRmk70l1ATHzfgGA5wsLfFyo4Grhgzu0NZxKGgTecgJkK765yzZIoUO2EMUb
LuzUgDfebWNj+GC2uLH17rmDRk6I6UShy3w28pBrTCTYZkGXg/qHYu6puNQZHrKojgZe1EWSHczm
AqfFOl/Q5yDfmVQnJm5a7qGgcVatSswKhhKuDGNuD3gNsEO41YWw3BAeRvKGuOXJrV2kvIsZytid
SWPiReW+YTsavsbOFJzViPw6BFKcJMPpYtd/I7eX5dC+zGxDb8msu361cN6Nb8j3yaYk3gfUPd8z
pWaO9o0TzyAYZvyQxepm6nXqJStZg/EALi/bRbLBZaI/svQkvqpoCmpUQc+CmIYdOXHDn11MZB3y
13oyGIJpaQQuwiVyvsN/EEQ+3Uj3VYS5tlHulavJrlqhZTxOMZpBVXJECfXqLavG8b7KnYxwsEN9
tZWxe5tm7t24Vvk4Ov11WfSg2IvoTLXvFtwKRhyzezba+qHm+rYyi9S8Ya5SkglnDMC2BzL7G85/
Wsj+ycL4LzlWgPb4kkQUX5bhnorFUxs7+6EdOn8YLG46s5VTALUUDpOfZsFokk2ZSMzNOoUojCsn
Tb9N9egLG9rjUPevjbR2i8J5RrFV29CwvLWNYLqSuDzZdzmFBdFGFrbjJ/Y8XVaNpa+DBrCJOVnq
DBORdGEQRvQ8O43vRVZ3DkltrpxKDQYiZlL5CRrOPcuvC6OD4C9xJGo0OcJjqDU4dRIc1cs0PjGZ
JgHZD+Ze0Ud3wyluuiuTDPATbZrXBvlvXJuv0P3Zb0arO3V80GuVdUSFm/KoRdSeN1JmK9mIxtex
AR8JVra+YUKbN7VeX+M7e0kmu8JaAtZ7cOGWj4GysZuDUVeNPfrlHMkL4iXGNcdvdXSdXuwrzGz0
XSSnXBvVxw7VY7Hvk+zu4wgC/KQNKwe32W2t3OrKCwwD93n54mZUwEivrmBl5sFqdJaSUsrgG9U+
K7t+UX0p/Vgw8p9yRRQXY0SgG9qTjHP3ucipaY3x7z8UVu3n9nKDl1NMHwpv3Rv6QQ6L3rBvhmkK
12NS0KmHMNkcsT9k5PDUnqsFnMChtXlT8/ACz2917bhsUmGZ+WZbdE/EFNUFOlz9kTIRw0+lwiGM
oEZoSy0OySHFXwLthO9OHGCbyoP1EHpUZTgpDcrSosC274KHYorUjR4K16fWM7g164qamTisDpzB
httSZMVTHdZI0vmAjoIv/FZoub6iqSh7LXPD2VFBUnz1qirYjUNlEZPkBF1RonFBATje5Fkr8hck
BDzl/ZwgvQ6uOJX6FN+FIac8pBkVPxKfsFhqq8anfCA8G5mu70Iz188GSqqP2EUzUNQ0h2DpoNKd
IvxUgKlYkUsQPkp0/mqpzjsj8MvHyTC0VdcOBJfhGH+kJjK8TeFS3JWA5Y6D6+J2S4y4560XVCFw
E9jwi0nWTbNsrkV00yTWdq5lxIGtQUuMGM1ozTicHTISa3tQxRm2U3PKdekQmgreBurrkA3oK9kW
2cTRbTSDLXMw96Mx1uYpLHLzdpjtZjO2hjqFTWJz/rTlfmql/MSVVW3mPPTeqjYQvscF8BBNbnll
h3F87o0o3mO15UBuFXSuggxg17C8LRkB1yC2fp1qA91upGE3buwZx1gzZIGgmpzFXF/leiToUZAw
TJ02P9Kmx/iwEt6hZYx5IYeaMFgtwdx41P1hcmPolrXYvcitf5XB/KXN0wnuAF161eCGPjF4Chs8
Y8Euh6yfdMHTahye+zTl5Gh4l6KaUt92ZU/PmoyfYi2Z/GHOPpYusCuiDM5l1eF9lHOyLXT406Vo
htNyycefUryhtuywQXunsvVgF9URjT44yB6jSGgmihCOpIjfnJ/1NkkDFRV+19XGBbHtdK2EKB4g
PBgBd7n+MdSlDaVUv0umMNhawZam952RqvRIt+VNMti+Ew4sLhNHcl3faqExUaBFzJg0M+ngabxK
rOYzX88RI0iegBLAPSWnGhWwxYs2ACXb1TNDWDS/osKcyRc1o+eJbg77Cmn54xzp55D1c5ORplrO
BvG2VJQ+95UmNtzzgr2L/Omn9Bbd9FUWI9c1CgSUN280meR7dorkaPRot6rP3atuniwwCVBIChle
9sDPAOfVekhTSGcMK1wqGOTShDCSUZKvX82eeBKCw5Plri2VwRBD2AwRybR0zcF3H5UXqeviVw77
gXwpcs/K1cb+rpFJ8TEPBD8eMzICqkDhHq2CyMGGrEdqhMPRJzd5bWi3oyWhfxxqq8d6tdSQccyU
Pc7mtDgn5DWpCirqc6VlXHMhx6yplFDuCv8qAREcms+dOQePAv/mRvXcW1YgWrif5gUkGUzZxg6/
aLtDsLRv62JMj1Nrdwc5lfLWHC1r1/Wi/mLX1Nv7KMrxx7L02i9jnmP4rSp+jD2LJ2+NdwoIXh/w
art7TwzTqretlC6ghs57HKX0uujDY099xx1an3VOHUEZnVGU88rW6yuTz/RG5IIng9z3GIrhrcoS
seEmRJWU3htX1FeSahgDb22ZZs/cQCJ9N4VmXLHbGpvcQtLn9JGvpkm7wM2NcZ8o0pZuKdJJhtJg
pBg4AgSREY7puGDOeuU5d042ahvijQSlizK/1HN9I+qZGE0oWbH6MN7bU59iXsZx5rXl/WinLzX2
lXmKtVUyxK/AUJKDo2raMGtzrU+jotljfGq4/Lj8hsHuTZfYxD+V+PCOyOnRzX/L3PN/kExn0Ong
mM4/DjX9l9f65VvZ/fklfKn/Y//Sv2Xxj0POv/6W73NO88My4dT/q9r+B+FOfCBMTCyGuN8fuco/
55xC/wDl16NnzXw/59Q/6KawSWLqAsClTi/Ev4M/fCcHSQ/soWN7HtFNnoj+jqqckMRiJ8uCDf18
qwSdw7YiwH/CJ27/h/j7twQP41/SmyzIoDhJi7LzgIh991ghY6Oykk3AKbXc4ptirKf2Da3PRSm3
s6c+stviFXzyYMk48xV3WX0dmc8ZZiERj6cxq7iiiP0PI+lfqIffWM4/yYfLszK56gDThai81Ib8
OOcNqrj07FwFmyqayD2rA/zHlrGNszXCejPTcOFoOX5He0tR6BKt8yeQe1iQ2ciwyorqj5/V375N
4tt7/u4ZkTtDmjVtPhO5MDh/fEZ55FQa88tg08xdBHrMOoSFtG7hkAVXsAUpTZRadkXiD/f/aM/H
uFxMirPs6Bqir3OOik9U/UoYRkZ2MokSniwrPlROwamlq6ETD5+c8UuGBQWc68oui0ubgFbKpdAl
iVYw6utofbS1jUkaVUQeyTAYRuXM2VHi4ZaXOg0WXkVIwiqoeLQuSS9suyg+MjFi3HU7B7kvQsu3
sH1JF1ERUv3QeTDVxTG0gx0JrovGFvs4Z+ern6dcOwALQcL5rBUn22EMYQ3mkW61TFj71GPt7p/6
Ds9vzUWRNiHnYLXwlruDO/XrjLGvyVQrb9jH2/Bmto6xk5wzCgyJ3qxdCIm5ExxB2bARw8cMsotJ
Dnckuo4MA7YjMB875SLW5e1WJS73uSFfIZj7AuuwxtWws+rLnmNfY34dncF3aUDK6Gaqyn5rqpKr
zBNkhWOSy6WH62Cg5HZZB2Okp+o1W3Oj20NxWocZx36+R51H+oFpXlnLGz7PVaKZ+661c/DIvU8o
mDFr7Rvqc+RcgYC7ACtFJ6S7HkCL6bp3rCx+mb27gRS/1uK7lESgVp+nytnaXvTSJwGQ/89Q3T41
zZeiZnzokqAJvasmIFw5Xcd1sXeNfp27zjbOx3UYNN2Z1ER1F7fBp5DQ1uWk+OScLr3SqmS4FZD1
EFz5aok2ICGXW+WX0FSUclQVb1reV5Q3jUX2BlY5uhFzWL54ZuxwspDLjyYgmWoE0cEZrDvH6MQD
+eAeLkDYfcQUUOL+9cLdMDhkaO1MDx/zKi3wT5kB+MhiVlRlwekkYdTldwQmuq1hN47f1jNHxYKM
AiUGlT2+SODJewoOOms1ku6+jPoqvjA780rWjX1Tz71z24pcbf9btr//52Q/E4WNlf3vvSx3MUXM
+Y874vc/8t3H4n7whLuoarYurW/43u8+FteFMaDbgp3yZxiwcClicskhm9Q6yMX98pfq54AYoIqL
liD2w2+umH9jNzR+trFQXWKZPCsBzQA9krwgpp0fl97AjPRioOVtb/WRdpzrgXx7GV9agaiA2Ay4
qkGU+9bSeUnb5vgQD2l4pO2N/AEUE9+AA7zKRe8y+GkYgzIWv8WZPx5KrWovc2eMfuNGWbaCv7aK
f32+i9vjByaW1CboIO5k7L04G/aThS5WcWSA5REwWqEBF9GESEauB7/ZzMFn/+ah39lukAXzijHC
tI/DJl7NFETQlKjcLcnvcpN0WunPXsYlHTwoblN5NS6GU1t5ue85YKkSJn/7aWa3KZcVF4cbCick
B/RYvBoV755tjleZGYSXgNGmdeyUlNHXhb5v5vi26pMNkfWHNNExs+J2xNdQMex9psJ4or5QDeq6
jHIO+m3e3fVcpS7SxsE8l43xJqtEfsw9vbyUnRdf1sU8fIw6KMEGB5SL2MjEZsq5J9ZVu9GLL1Mf
6Qe8CTutTehm8yI0rMHQH6yhHA8O0ZpdZmYuqdQw3ibke5Lag07nlaJ7rmKp76JCS7a4GpwVplnK
vCNZkgNNHqQdXHXTcENGqGZN9IdMewaV651awiPHKfGeGujCO9zvp5o4nD9FtrhI5vAyz0neV+gd
vjsl9Qpc5s4ccID2rvMCq3H2mcNBbvKSI8MMbSX66WrUI7kFKdhuOgpw2NfMFhjoSMy8YyARZPG5
DGYck7W+h3FHLn880k2KbFdXPjbalcA9WwI5to1ArkJTV1vMT6PPHtBsAdH0O5QGayOGiorckfkA
NQXlhhcWAS0AvyFrW/80hDX1wCGIMFJ1LdCkPL7hWGAe+dWQeutOAeiqleUKpLtovB97jaxqPoLQ
yy3OPHa3BWtfoQ9qhKzHYRPXoYcezmcSlWV05XVkFXvTzC4YbuJuSgzoD3ZwABGp71rSoAcLEsfa
FWW0UQhba4gacu111YK7N+d7poZHmAwbrez7dR/lh9msTT8jGEqIhW/zKAloUHbGruV6TIzTbjoN
YaSjnbUkVPv8MxyD+zYF0IPZcqe4CHuRe8+u7Tc2ByqR8V7KgYyynfZk/YCNpcqkHdsR5pp6e9KO
HWWSXoDt25N7yae5yq1gZ8vHomgQnM3JJWRYMRjMusTHlE9+LEswMimmoo6b7EhH3xqFrp80mBEr
eyHpUELdrcqqdU5TWaV35G41f3IchnjW3SKl+ak7YnonR7lKu+RsuyPNQRHzNgLn7bolmuwT8tpp
Q72TdBpvLDu87QQiJpoIamZ6IGV8G4NyIzo93rdjfJIV7eEtjEFlVMyxyaM5/WZsHudMXTmK1Iuj
d7dUIroPQqXxFp7MptC7F6DJzN3C+pKstg/k9b7RiMaM3lZF+RfdAG6Mju5nDocXJTgFojqevckG
/zJzdk0UUT8PLodxNTrhMQkKgXirNEFx7eRswwC20ao0y+azgVGS973Q70aCEg3mr1utIXoHHFDn
t92PX3qMXyu9wPy64mrkvUQZtAydl3UYSUjyUZGAXuM0MunKqQggTS2ptaijAUeZxb6u4E+IVMCD
odDKr/NU3riBYL5Prugy0VW3z7QwOpqsixxIdahIgLVY/YbTRGDovoa6tp1b5CKTjuvdEBnof5mD
djsUjn5BDlyHANnVtwokxfXQmdU+LgEyUHnJ/0gCCWMIc+E2q/ULWwVX1TQda2FOG2mn91ORtEfC
2OwPqUWAYl4wlw78DrIPq1rgNtQElYBCUd6ruwgqLYEPIs24+JIUF5/XNPEhXOZEiVbrO9KZ8cbR
ES+8spHPOWMGJ5hZ7xJrnc9usi+gsfuAp+Z9PTjU1hrlVycs9kT02520aWXQmCruGy/+aCJfb6w4
uHFiE+05CmAMMo7Ft092Y9AgJ+dVUpwZZN7+cDT5xfVvsZe920CxGglpMA7Bteq8u5MamhUZWtoY
e8LmN2VMnjVPIAsSkj798wMZP/uJvm3VPz3Su6NF2o5FpJPS3PdhJ/dW4L0ZMyFhZoclCUL7sy2Y
7I/SMlbesvJWDtWh//wUzJ+9dn88BdvgjCPxhepYqH4+LbhlQYNpMzNc73OnWuuW0PCeNoQCMvjb
Wk1tW6yM9I4YTbtPSV1A62YliYiXIfYH6uQNLf7BpsTKktQ3mDI9H2MJq3xoFMVZOnOwT6EU+Emf
hfs4aIu9GMdmQ8UkiyDgnFrp7p5531dkKjpA8EGu8zq/4XmAK2yzl39+vb/6bH98ue+sromVZRhT
pbHXGDrcNvVorifmjz6a4Lz+54f62YP8/Z11dIv5EXZGvFI/v7PGgNbTpqOxjzvna+uQ3Jyk9cnE
A+3Xsnr+5wdjwvOvX1pc+38+2jJo+eHUp8UMuMcyEXsZ99dzJ80nE0LOIRnCVyNmDKvstL3uoiw6
uq2Y961GjkmklYQEEbaXXtLtEz5Jv+FnmNlq3CZN1x6Rsc11OGKyjWM+wlQOuo/ZSvpiKotrPYkK
mDE1kvpo8LchN0H00y7G5VCiluOJxTnln1/nz/Oib28qJ37Dxhjqurzc5ev8w8skJ25DhFbG3lYk
g1ObO2xuwnHJmU1cx70GsaBTWfqbj/JXP9SfHvbdmVq0cDb1EnlTsyQ/DUCDTmqwM9d0N5Pq0Y7F
NJ4DrDvX2XLKcYY2/c0P9ZdPgUUJNJvhei6mip9feaYbY1PlsbGnTLlGZxH4YptLEiQBvE/JRLmy
oWzpnDdN+xOr/ve77d/OoH7xdQav89fjv/vldANwMaMIrX2bdZ/MJh7PbRGYx1zZfLG18Dce4OWm
8G4N5pXqYMF0wHL8++dXGw2xVrcANvfSbJILY2ASFTeQAf752/SL1eCnR3n3mhoTZ2ImSxjPLdPx
gRfIEN/atMi2v/n4fvVIy0thPiu5rf7LYlB5XTHPtr6fg4HYmGs8ZbZ3YJ/5zSv65dfkxwd6tw5w
/+haDPQWuwn+q3hor+COWzuPkR8pzc68S8OWcupwOR6TSuUqULXVbyoXf3FltnQdHqbr6kQLuLv/
/OkF0TgoJw4YYzlJtZ+xKtxXwjIO4LfNfQUsr6y81A97jFlxz8BOhcz6HAXWgHHTi+bEKbM00qLL
6aI4MYp7olUAF0ksHvHplb+5MJv/+mWzsC9Kz2UowTOW774GmkEyNJ9rnhrdmLhzS4rZ9XhXzhkm
WG2+HD173GDR23dNRL52iKsVl1BtG48px3dZZIRVWU7rvjhwTA02Cap8XnGnaTTsWlwivlbVEB50
lXOEwzZlYCwl8guzrJ9chB0thtA5l5ytqkAh2b3R2mZQjaFyqn5766Jpmj+OOP/fn34/VW//+3+9
vOYxNSINDXZf2p+mTpa9mLb/flD1sNRX/cd1/fL61kS/+JPf51XWB7Qboevs6ugkzIb+zF0xe0I5
wOpDxOobFfNP+cbUPzCpsgXtVd/TVX9NrDC3Q8rkT3rAd3G9/1s+9Z/3SEI83CUNi+4q/O6OoM74
518faALPrjvZ70h0e3e4aKerosQ8tza9uP4MJCc9DXQ6VL/bJG3r51VueWRyG6g5EkqoQO9/98hd
wzV2lH2PYtQF27g2ZfWCmklMOe4NBJL/ZO9MmhtH0mz7V571HmmAA3AAi140Z1KkBkohKWIDk0KS
Y54c869/B8qqrsGsu6z2nYu0DIuI1EQCju+795yuIghGDXboXrMqqTDEOTyCYreCm0GubjDl3swq
C/8Pb/efITPllkgxnXbHAiQPodrGoaSrMFqnOWPqwwDeCjxWZzEKtwb0DKuq9Kd34pIru4WOtBfM
83/mTj6+TaUInnNm5OiSRd8/gDCgoJVyLYQKlaXxyq9CUNe9xYimcKhws4LrN36e3zgxyEtUehNZ
DiKGxXtSEwxs7X4D0Lvc6LD83WfkEZDuJIA5U+8lmGW95wKRnJsc+e46YuZJmpg9xw+jz+KEyLRR
HicfgnURTp9e6aZ7WA87amQC3jJmjGGI7v2o83b9yGq78Eg6GFbxjBujp4qFxNkaxGOP1IVYhlh2
ZsBtEuKAGfDIcRXYzl1RsZcYAbBx6lcMpzr+YlNDRK8wBhtABaGoE5pDzvHGrp5aXuDcmK7e6Cij
PW43e1igu6GpenibsMNqO9hLSRpIu3PGHyqHtQj1cDc0XX2m5dce57BZqlu6I83JgbGkgQXUkJZD
p1BXtEPsbQmD2hs9hu2+dRUTPTQbOye23aNjsh4weoGdpuk60lR6GV/hgZpBrtCaYMOXIlHbhQyX
TlGeyn1APHPDMwSKL4re2x7YGaxMdMrHojCcj8rq1aFzTGPjGdK4nQlFw76p4+s0ZzrdFA4FCkWe
LYHzEEKCShLTxiHmR7naOL7n8Azjy+UxE53bG0yKFFnubPNzj6PZ+6k6x79AMrLei17kHxTmE/jw
HKZtgpZDd1VlejZHg7zW0Jh4n0RQ0+olAmQ6BpL1qjqBaC1fcgbOfK+ThlauCY5z3jbuEM9rHRCf
XZlmKSXhGVne55DyiFtTc1IrODzFhmwCdgCdsgzl5J2dM51be+wzWb5Pjch/zBfsILVmjuA1nGax
BWLSmjScpX8xG5sNlq6n/kEY7bRzVDSpk1IVka3arL2fGsNASsIqnW9rz2Z6UEN7uE5AOI48pY8F
PCmVn2feUMfUGsJqFZm+OjhB5jyVTdOGPFH4pOVcfynqEzQcsCvKKruz87J/hk/pouUKvOERh40g
JWU4zbD13UHVp2lorc+ypj0i7dx6Tm0q1vs2txyeDYcw2Dm2YL9jQ/ACRT9PrnH1ZTuw5qrnm1RT
jVgJV5B7AGcB5ciGaPTUiRiMZVwbN8g7QFXzD0wkFXvXbnYLRnbUSHbZbNyFzvQhVfqu8+hs9QlG
GsPZdZNgdt+L7NBHgX0nHVo4tdOd4zYlODPJ9By0cbqaLQN+ikmIDf4+Tr6qvkV6qe9Ben5EqUWf
p2xyTuk8AJvUQi8FpfidUHxF3pRXO7VYvxlvtPvR0P5NN49iCzuyfJ9l0+9Yhcpbc0romOTTojjT
6fiV5zyFr+JBxDcMFKnAJInPsGwupr5kJepa7x5xkBPQoOwm8DwmYPlYkK60WpCBVqHlZ12CFowp
EE0k9woj531pvLbEoItW6zUhFvdHGjEn00XfPQQQyWvsKeixWp4vT8hBPys4HoTnSsfZ8bgfbgIx
eZfeBqrrpLO9CoArbIdcxceyjfJ7wySRSF6qI5VSDuGVsklqP/XG3LDEnNL2mKq6/90aeXerh06n
26hkkcoYdbpDxBKtp7YU1iqxR+AUbghHFCrIu98neoPG3D/YPuevxee4zsCjkt0S4oefwd5x+TkS
OYUuNo28gNWQ3lK5hA6iwkOXiXxd5tCSsoiEmpDRqZPuF3en+LYoIUBngIaTleSVoo9UK8c1xzOm
wc08m/A5NAOOjYHZ7IP9AmBIlTJf82RBDEuESQtUcxEtgadi/YgS+xpPKn0hPpxuM8/2P83I6vZT
bI817EE/3rt1TzCd5SV4wb7v/dsaq86zx88JX53FXgQUywfZUOdej3X4PpEgch4BpnCZbeeCVXbZ
2ib4joZ0FJMik2MyhGZgkVUzX1Q82+ukM98rNg07N9fzPhMWLDfMkGNTvBrwi/Il7S4Y/+rUJurW
01/fx6irmL9Xvo9UuI7bpyEVUChDK3FuPe0N43aSjWCQyW5l8ouH0AZUQi6r2fCsatxnLeWi0Rgw
qehwHfvOzoSmu7EKx8KupIBQqCNJUuiYvtMAjeHO5LKhttNY8SVEl6A3P2pyCRPX9+OgGUtyfJ+O
8RxEa47V4mAYyzpZAaMRIiOcnoGz7xoUa70iG68EcJGInXQZjZQVXPWsWC5v63bgBRAOXJ6V3cKW
cSCG5cYcXfMRgRdjDBb+4ZbBn7Vrp06co5HTJmwta8FYxh+jgocWdn17ybRvs6awxKocRxJ2uhYr
pekeVN5Uobeyhi1nQXutGcGzUZh/hFnPNxI3BZExvrEZxO0LIUlgcrr6MbisMQBONoc2oGXBUYP1
kGzafclMYM8VyGe8XqmtnzZya1IMA7DiyINMbId2e3CvjYm3by6cOzhaSJEyDZ6r6Qnt0JpDYscY
fA+lGuYjWwze8LHj3nBc0LR+lx9qFLjurtOxvpdxFSD5brW/LYtw+Bl4QM69dmbiF2TpF8QKeTS4
5RytPhheEkKtGxYAhB8G1yybtTN2xUZ5ZvhlRnN3kC6It6TNBGnyhKWj0ftuvCpjK7pXBjX5dap6
8ySZKu5HkdhvgdXUSCXFeEcSkOd+imUBZO8OuI4KcodMIw29k8J6R2PJcm9Mv7eeyIuGn5lGOgN0
3c/3fkMjnAuTFR6T1nRPgNMKcz2PSbDFIRCfeKuwoTQVHfM9JcB0n5vCeqaRDEDOdSia5dOIg0Rk
8MPTwiTfQa+s5IdQ5PckKI0nRtjJIY70dJOMCWY2c+pfHQoLNx10EYNMpIzo3xU0lnQXUO9GxEmD
O2KplCbT9NklMudt6qfpFYBmf0XRWdXrNAYSztEWrSNH+10SpvrZp/9+G0ZFcYpCy9xPAuYHNz+P
bgmvA9BDTu1s8tzMKLcY41M/5M6hL4g5AwlrOU1Kmql0yy8ZzT6sI773amSssGtVl6+2g5GhhBIK
7ee28cHsCV8ZwG3gtEteZw55b4woes0Vz1rRK4/PkB7AC3pNsy8NwYFnCOORR3eeLFadXgguGbVe
iEJumN+GgRftA7qF7BsLDoz51F4lhLujV/EZFH5h/bBlT1QS36P9FIaDhMRjiMS65xbB/a1TXj9x
AbMkUR7yRllG8xA3Lp0/u5h3hHHr247E49rLAszmlcWuAlBoTMN2jyBJ7mq6Vx8cWmh40R3C8TdT
7F9141Tsc1LQx6ru9U/etPPVCDSnTXcs9mnDB/ENU2yTxXrh5ngJJWXW+3JsxO2gzX58K20x0lYZ
4zp7NOSgCKBUM+2+mvBKAIQe/j3B5mYMyYL1iFC9rqVoK/2e1W1VJtfcGdTTWFnx12ykYs/SSpVb
gIZq3zWmfqgmYf3sysB56saBiebUCHKzYOVnmDxx8UhqLvoYB5mcsP3Yb7UjgDXBQor5cRB+uZoc
UD8bu5xPaijtxaM41tepsbhWzLXgAs3Bm6sabltFfQTC1KrRdvfC9t58S0PPYQ1tyuYJA65sb6EG
O/YWzZYotgsIYKtyCHW9PSUWSSoFbzPIFdy/uLMmEmUWL8JNpwyaaJ2r0THmEKpoN/HudabEtwBA
I/qASR3IVWrX1a1qvIgGimFTOTUqVHP8i5pI2VfqWJed/TPDEr8vrKB6rsgBvAkeiWhOV/W1caF5
Gmzex0xvKu37N+2Eyxz0JXJENIFviRcNv1QRJEdJ0PY5mXvj1apK19/i8HN+0r0dT307gO0ICN6L
2ZYPikwmXUI1hgcnybZw0FKCaH50HoUzHGrYYIeOb+Eb4L0eIKkh752oana54e2ttvTuyJlNp1YK
a9P1XXItHIMoXGt3EJmClhYh5eBpNQKboC2aTeFN2UDQduBDXBT4zU5FHwazpIeuMkOoS3WTc7WG
BrjSsg++qB156wgq8M4RKN/7QUTPjR90L0PCOyczivYlyRTGu5HCJQSI8hTT6QWI7Hwph600o77g
WnOcvc+gOXK6iqtPAPYg9NQgDiyU5dPcB+1pVqa5pRU2QLfGQ60pVd3q0E3uS4Zk22khIW1zq2rP
Y4hUvjHojEiVR+C1tdzYhCeJ5SVDdd/xTPpeT8J5iPKi3U1zsBDly+aud4f0WHo1/P4xZo2OF5Lj
QW5327GE4dTQ0NilXTu/RTJD4DlibUwzmzMQRW+IjaW4YNFObzKZBq+xV4e/wphrvqs4p3FbJUSq
Slp/nMVuixaS+szk+NJBhHlsOeWBws3oHM5wAk82+/9LqHnJIxyDTluV3a+YRNw2hOT7NoHvdqk9
8khtFb138T0e1pjZ8e6KuatsqFqSbA+4p/gD3Qf6lebKDtPdXEXJpSBo8UzkUJ/cKkyeUYfwgBrJ
nCdBFLj+0pgA72ndewERyHDpPht9lz2NUyVglubFlzOMFFBx94knn/PkrZlzzyOLGdofvkp5wuqa
vLkxlSZIPoeJOhi80KwtoG7cTG2bdi8d4Q6I64ZTvbRjVSMfDkbrMYVQ/uQ1Qr8lRsRsBUd4XWzG
oC5eNcXJt6E1l8mr4vpyA7KQMjFXv+e5YSF5Tgpcb6tc5k5D2sMP31Q78HxF3MR+72WBLlrkM9hk
r3wbBxYkIjS9l1IypHHhAJ4VJ7V4NXDt4BOChpoWfraLQfldA4OrtyUb98B3Ut81lu4vc9q3b10O
zd3qa1ZLwif+WsbZgTE2NW0CV2cN/WxVqrh6bTxWHyrNjStqW3edEG+CkL5uucSzSy3L4gPKjhxv
sRNF7gH45LBywfJNoNuV9VzwtBGxyxrjr950/B14hmlLG3+Uq3Am0bEqi2l6SXmG3Kgwdg/ai4Ft
8cUrzgQOMhEe/LWT7zgFNOfJ7KOfIoitJy8hGkvcceZzMHR5nUpfjwyCVPHs5PWXTimIbGtvKt7m
Jpy+Ss6gVEkNLkOhMW8wpJQbtzeMvRzj91Qx2LJKUIHe9Ab1C6INt2YEBC2l7iiBhNwHz1xkyhN1
lUczRByrkObeqKQldaJo2HVB5qJjoQLSVSGndP/axtq5C+0wP5uKhevKdpA8UDtOj25bwE5xCnmk
cs7LAfCke5pzLL3EX+zlNpXv0rKlZc8Um1uV5p0GuhY7gn+J1RQBhwxgQS6I24iXz3v1zb1NaTXw
94HhygiVZs8T1E5mdntNJu+e6IG15948XNPQgK7ZWrQcOsMlS2UEKLQZSt250HeXmdBPIO4QefNq
YPGYGkj5ONnlamVyvbpEng+nddBuRGQ5wodLaRnwojfODvO3ud2AAc6e6WXiuAyGRj5wNMhguEZp
CFY2XpCunj60ToRuJbPhbmi443448b7MwmCFUhu9MwbvhXvZlc2N0zBLXDudANakIBvrpkImsHCP
k7JD9gFvgAu407sPdtzVF1BO2bqkcX8f4Ye5mN8o5TAovZtukQ6DpUlOAh3hTdWa1U3sxP5VWuTc
C1afakMCuHgFcdzeMVzT7Zb9GEcafyE6170xDasZeR/A/+l3gJJv0y4MaFw15ocxq/TYh3P4KLky
rchUC4fbEbxESi7pTiWd2jWuOd8tiY59JLyFj5/k/mVc2NSzMVJiAeHIbxlkWiSN7bexX4j/bpX8
oP/CVXAskavTeyB3x/CK0MICx+aZQDxL4O3lxjR7zlwwtW3Y2l0LZFsBSOBxDyIXKOAffovzPlmg
3KBA4HObZL62yZiND14osnU9IcZrF6S3scC9IWjXv8wF+G0s6G+ds36e0b/zuL5P0Vbc9WbZ7poU
nbs1j9xI+aVLJcjPzwCNhx0BvcrbFN+o8Wmhjjt2xHucqBcoY38ik57WDfKzjPa1lQX6WcrZemZ9
rzZZN5FxZnIFYbSXCYmXDP8FEfW4esJBmJsQGfU4QbZc8OhYCM3yBhy2YCRblYLXLcMPNB6pMl4I
xuiTD7SR2TOHaDD3UdJf528me+nJ+DHyZkAlGYpRbzWDp0GFVsfdV+Ll837uIL2nYpZX/xv/7hWZ
UW8TYJDoMr/J8UkdBZT7wHxS22cBdtXEadP1gLoPiYofVC+dYyfvvbFg6XEsms5x1A2ChJlR/1Ps
zMVrbYfD3kiK+m6EaQiSxgVq33/z7cWCuq8GBnHQN3O8Bu1P1wKGH/oA12CfBL+MEplONRFyjSnZ
nLQv8udEQ5qFATbWu05GBCsLHPXG1B75LsxbbVYjPdQlmbnYHh7btgdqGU7zE+NL9+TXwru3J2DB
m2Sgr666GSVcWwP1Z2pAek8VAoa12bA6MMbRcDaGNzQHZshgOMkxjq+xL7lBMEKdLm3ueNsueogr
r+s2qpDBU9qGxVk1IZZX2aQbsegGQsGd4ADlpYL8C6nx3f82FESob/RqLPO+XzF1JtRV2fa4qoYp
CzYU5CGUtjaT2k1fou/d2Dbofm4j4j5zgvYBTcD8wuB8eDBkV6DmsrJ9XDh63+rK/mGn6XhnV60D
8sUYzF1JCx6sgZvc6S7D7lMOsGvbKo1+xqPMbtAx9veNIZCw5AiiQCj7OIf4ERBHWEXUSsBDcMpa
t57Rv05ziwhIcrjeRe6Y7M0oHu/GoKEF6jlpUAAzl8FDiaDeWKtKLOTVyOvWsWNZjypk0MvuEldR
EnsgwBZdBWUZzBVuod01lQMepEa8NrdNaelrrUrzKga7uJsMF//FBKHr5zz68a38dmP0tS8vpjZM
xjiFTopD3NbWDxkF4iauA5ByeR3jNtEd809gpbl3ShbrRpyigKq+VRwDUmcOZWY9hJuenstGTjaP
cXPTZy+82ghuFlnMnYCp53inTTv8PRiEMyPBm8i1+EOeZ4ujbbXzBaCAd4oWR4iqsYVwbecGpAPz
QztdE22CkjsfaU/UBotnZJQYR0aV1GdnwEJCxK770p0TA7VbJCWDv8SX63YcP2VC+6XJug3PEFmy
brE3H6gx4yvhur3pvTJ7dMbePRmiwAJPqeGjSGq7Ws+S9meVmcUhcdClbkaV129WZWpkHp1XXnlE
YvpdFfpH2tv+A27W7PdceXgoRcO/Gq5DWvX1q2pZQzff1hY/9rRxaqk/bju+h4/FInfhDpT7qwUr
9GTMlg29Pm9EvC11dN8hLLmWJKbYHnBtKVZO5zjwZNr2Pre97KYCuf9khSWJApj593IsmCaYU979
IrColxtyLy5+B7kl9HgqWaliyK5phLJgHQWJqB7DsJwfxpQVW8Th5mwuPhuWW8WRwEt01cKtYDiP
LgKwmkcNlDZ4gqwIfO4Q3uX9JE/8NUXrsjbex8WVwy9fo7BPt1Zcjm88Mvu33eLVmcb8Ax/KJk87
hV6v9NciCaaLbCesW4M97JvSK9d4nh6nWIttKjOXOyOjy2OrTTeBi0NKPBGmfLIHvq4AwQ9qPlQ/
Tsb7etUAD9n1PL6yoemYcBhxHh5bju2/vKiU96FpEsN37LG5OhzoeRLIXEQIfsddjsh1dYq/3UPT
oiFSOEzPbFd/l+Re01XVavcuQvx7GWTpPIyMM34VcDcBIFohjiPVsb6JOl5Ng6kOXFXDeyw7eHdM
Zgpp04mvCngLfAVypsQoSw07h7F7s4ADhikHUyTUTWd4xYsN3ZBDZ8CRJWLCmVpioPHNtoV4s1U9
s09tjznf321Ug4kco8bfEH2zt/5k+iWeAiQuBahyllYtuidph/rC7rDbZosRql/cUIORZsyCLf+n
iT6kWSFl8I011KpgiZpxkPUS9lb23PEEI6xouAEHwShnUVD5bHMY91buW+U64HujrDWOJK54RTIj
iVcuc4xLCwxXrAOvruh96ejRLdj5QDkdnmJcMB/lMI3v8Mbap3qkQk7idVyu/ygezxKadbmaF51W
nbK/hGnNQw8jUo4mc84zHtwZLsZ953vsYdLW5kaTttEFn4v5nn1bvIaKcCPLF25c02L4ChdcPF8U
wULuwSCqKjBok9sq7lyLL6zRLvLCSgnIUUmYTS+AZAR7G1RjQlTc84t6wSZLswzXZSiMcNN68Xzp
YpLLHFEJvXmB1Cc16txeuenk/cYrDQ9bmmz8VulYcrcS3z40K5hAhORx1KwYtJFGT77taXkhFzC3
7Oz6HIwjH4b6sDqEmlI1kjeUbFnfsEcRqMzH3htxX4WGcWTInsOBb5BB8WnwpluFXSx+sLO1s9XA
QtRb54sArl5UcBUbVDK0pJHnb1NciJdMHzEbWOnGE/P4yryZYjU8oCd6BSY5zBYGFIJJapTsB7dD
bKabMc5Mkm69+EidcrmJZcHOCNMGZYzV9eHOJUWwDhgO38y5icO6qMdb0LO4GqxlSJ5HJW7LRmxh
C1q8s3qa+MnwgCPpHjrMwNO1fu3wmZymsMiOvlEYdD4tvRmmuv+0Kje5dBwnbiENcP2awVJ4nlmc
jb4SyFr4L+AWZH2sTpuvplHHYJyi9JI2g9iWrRktepNex2vbbV+jrppR5PXFGQqzzxqd/JcjwvyY
WZ75O6t6b6sqvznnHekssARJs67iId502TD/1sqODsoKvCNKheHAeZ0xcdkp9/9KbJ8F8fHpX2SD
vjva337Z/zke9NTEVdeQOf7z/3j8+M//+Ntf+zMbFAha2oIUDP0zcprUuP+aDQqsPyzXDAQFN36f
OhtJpL8gLIXzh+tKSbqSv+ITc+e3/sqwpBAuAoYOLnki0ydz9O90u4njkP75W7LS800JYAteCIBV
QbnZ/KdsXlWkSH143xAQpLTQpWg3DdhleZ+jYgjGV18Gyz0pytauTqf9XLafbFNfEt9/JbFmXsOa
Byq3Hj7aKfZwieTdth0lD2EG+JWxrYvHlBPKjdezOiWMU2zm3tIrXssPEgrFZhB9xKiRcTiRA4iI
KY/GOLu2EB5e2bnWwJWma+mYn3lF4G/i3Jwx1lszxHU4GhkwhOxb8PiChwOj/sWWWK1c2Y+HdpoQ
27p2yEdV/S80GwdjLs9Nhgucy1ROcUYqFk4hR3PI81uznjgT2knB1tCzb9rEmU+VUckzJiOPQ7zn
QMQys+k5DNSTGadvQ9S8pmZLOqZvp/lieA6E/HHkqlyCNoy6iaq1cLprPmGnaFLnXElrpPbhdrs5
nEoYh4GRrmorhmHmdRNFhsS1ui8LfI2elCT5YnsPxNco5VYRt1id7ift5msi98XFS7gkL/j/d7tW
xkE6HD05aFebBrnXuhy4KKSNVWGfUPK9ldOvZmRFatNYg+CC0U4EGf9V2NV7JwPjEsqeygi7glXc
DslmzlyHaVvTsRkuP1n88bzH4RVXcRLs2JEmqy5hx2mZnJqY7TnbNGLoNwR1c6rBi119PX+AAQLG
n4713ZB16atdTq+OX0UILICbMaI0EV+YZ6dOO6KdTrSZUUus0z774qySHrwy+BW0GRCZnj8+t9kU
7QYLwmOfmyceg3kBIK46mFUT3cRe9hRL+eQhNOHJmUsvvrT4ibWr3gDySDG8pQotlcqu9MrQwuV9
up7TwOZmEmkmgs4Pz6YV7SnDvXRJ/cLrNfgcTcyDJgfh21mUgJsILQBt0U+hET7xoLeV5ZiT0tFs
EZx003Nk2aO1pV1sOD+zYlwcl/pquXhE0etUK5ayesdlvH02FahzV/rXfsIsPSb3QDl5zfJ+p1Hm
yJXucztYsekO9vQiVHhJbFEDlOT8fCzCeOFOTk11z92w2lqugSihSTOGNCLblo4ajkTCYSDwGrxT
re5P7M3iA6o/mvJRxOUs0PuZgG9HVyNa+xlcIkgLyRXWkb8XFYsWihDPltLjY84A7TQQyj5gOS4A
D8kflpmIfRr3+XOWpHh2C59IlDuxHk2TlpxZZ4Q/m7Lqt2EqalIxWp3maSAQHjLTJfaD0mPThc1n
WTVshMsiWslxDm4ZH48PavTg/IxOuh2pLK1bLU845O07swnZv4UuKJZgoA1ogUyZKr+7Q1mM+5TJ
7e92CnhOpAsuB688+GaC8KKarYcwxX/RGcwopgijVmsGFFp06DGjAXKWtoOPjrDy44OIltBungEb
AKkmoS8Z3cukA/mDm6p3qJn+vGSmB5nV9JKd25vJPkZ4d0y8erqpPTf+EcRVfVYlmhv6d7O4ZmSA
boO8mfd5kCUvMClekA+BW0T0pzQFp0qP91Xbi8++ssiCDJJ5f6w1YN5ekuIbWdb5YOqQsVbvsdsN
nz1GojuvsocT68Hh0LbYncl0u2sDF/DOmtWL7yBCwjt9g1tRQNQFdWAGa6yhdCImu1z7Rs25LRS8
c2M72eRjSoWoj7ybxZd1P8xhdQ6tNrmL4ICsS4wlnYz7fe609Qv1O+r9Zd7ctvXUraOpMTddbIlt
vow6+2ROfvREAXbZMM3XMOIJzi0APLDR3ZTTwBow6R64DxlHoLn1jny/eodKOx+sjHPeWJvb2Wbz
UIqivUNY4W58f2bOWvjdphDxefSjlMmBUz64icm6ARXOqrEwWLieJ+DZ+OEGwN3k8doNrKPhGt2m
RUmGYoMtkIny6Txix10ZOQ/gYZ4RvfBsrsKx+2lZDAgCmVlrJwjgGcnfsfCndZgQUnMCHiZGEzNh
2ic4rDo9c94PubyEKSaoInw2nZK74vI5iMy10fQOwRpmlXjxiTSseWCUWxXOwQX5rEjW6GuQRaZg
E98NhTIIFfHQPInK/4LxtNBtufpaKEIia0uQ+I4n+GA19qmNWAl4MEMTZNJAf42VayRXKFjVxTNl
whLUl9tauANutuiZM/zeNYiy4HBriOYZwU9qBvOuDqqPcuQFJXX21Nept06YrG8wB97O/XzJg3pa
c7dLfpChFsfOMIJ1s/ykiYeEO7tXApENl542KD4KMb8zbfjVeyLkm8qcY5sJL9p6mudeNy3i0xiq
+ziCOuSbaiA8Kh4g3FGswmy9BpwoNgwA8FghvYJB6dkH3afNk7J5eJ21IuzH4+LBXozmBlchCZGS
ciTEWfd9Ivg5OO4H1lx0WS1RWtKiH9/57v+Lwv+L4y57RRuuwv8Wht+X/3DS/e+/8ReGkfOHCKRL
u4Njq+RZ828hePsP6dqO8CzxVwDDXw+6lvuHbzlk5i2kE54tbZpUfznoWoTqEZRbpmk7VHwlx+N/
A9vwj3Ulz1k+MXL0FKVc6Vn2Px9zhQdMxM0G5JZKESQcIpw8gI3WXAGWK0Mynv7uO3P/5wH6/xUd
isGYBOR//sc/R9///Hh8QBcdC9+Pf+qQZMpmfZ4xVpsdzT7WUV8Y1ph3Dlgo/vePRED7H4/wy9dG
kwvERUBt03P/GQZESJFcexQNW2GZwChylyEZFRrrCAiuuqSh6i/dbCdE/Fpuu3UTfMis7O81PLUj
2FmmG7WRWidzYphJx1s74MkC1bw4GTPAFfNx91ZKZZ06U+h3Yu9uSILNI2mXcGUGaTuzP2GLW34a
i2ZJ+qn1lPtNC/zGoyt60zqNeR9nQqu1jmcOyInnfLYyKinfD0mPayjrvrrRiD6VjEOWwFALyjCb
74NacD/ljkMshfTEmggA0D45Gze1GZj9gegtO7c0CvhUOi8MX2jzkE0XADi4harMYznhTx60SkUe
g8A2/PA8S5jDd8FAg1s7jShXttc3Xzlt5ZMHMdpTvB6svmMm4BXnYpJPhRtT60kTOyQIwU6Tx4Xi
fhwzeo2CJVFIGGxZOBt5lCxxxAeeHIp94Xpn1gHEYALSuHVF49IODHbBNC7X3Ez7dWgCGIf6lkXs
YH1Wh6nLkNIAcWdM+jVGq0JOlaPlBMt3JT0ekJi50LFLkl2miaJFKQUOa2TjZwRbzBbTPlXiAYM1
i3HjyqhiQ6GZZaM1Rnu4KQ6ajuAoasrxKYOnddg0CdNYaraIEVnYJ/wHh0TPBBekszZYs8srVmWk
Aes5fHAhc+6bPizXjsc3RuG8dQr1pkR6wWnAYkSq9yHkpW5pALxOYexpyz+UabPxl+8o2e1gA9T6
sbUStTZH8eF24dlKPTI9SbZmhbpnz4NFblAMeLVNcpR8LVjRD4JxOzs163XetXvbTL5MIhvbNGxe
XX7Rh/6tbSdfaRCf85bcepWyoutDalNR/aigpXOeJZrd30Rhumf4do6yJt7iLuB1xwZkps4AHfmc
2A5d1sQJ9V3dIsA2yteiT6o14yoWkkNG0pG5fVclG6axcpcS11w1KEzZpAcFT4BDsGUZRvTbZygU
B1i+6QTcigkqph2O71GoX4iJIm0Ww3IG4PAsQ+MJFPmZrgBBRJJ3QE4IxbJn3UzpEvaR6kaFabkn
UMuDZsAXEPqE/vlw2RC/h6B+k4KeS4Z1iRFYSSq3JLZq8qHlIAxyfC2Cde0OEBcjAjcTQTQGnjjg
sPACBoB3S9DtqTUomJN4eWLVN9Isyc99wc/BMat3QgLln3XE/7u5/subqwXaj3vb/zxK+q/i4y1/
K/7EBsa/y3d6Z0edvRUf+u/HSx50vO//01+mS/Yf0N+4wXBLs1GDBHQZ/xSkMHdi+2BLyikCAQ4N
rP+eLlncjz2XJqZ0HHphYuHd/eWmiwvMdbgfk5MhO8Gf+LfIgf+M8/OlyaCSz4zpV8A96nv49Hf1
bK1BMZfx2Px/3s5suW1kW9Ov0i+AE5iHiI6+IAmClKjJlm3ZNwjLtjADicSMp+8vWft025SP1Ptc
9MWu2BV2EVPmyjX8Q5RONKVzB2sCMK6h5RGZ0liKPZzKFzhXzLaC4pkBISCBRgMWN+JkmTVYGPt1
B34Nu9V4yj6PDdv2t5f8l3P6giAL9EM3aMwhYOYq2yvyjT/ZcWAfyByKREZ+Fc+ks7YZwj61KBmD
09i23xnS3LrdsOsSk53rsr3+WzdAC87kVXmBEs76ncKOfpnwJ7uUUZxwA9Y6j1thlNgVZjFtH5rK
Qxwj+AIOb4D/sqHz0r1zCxe5yvkVuJBdDdvRXTiMF7lKZ2emxAijjeSQqMGz9zjgFpK17xk5XehB
/fOuXVhM+Dl50CSti0fF0qSjL9e0Ud2MzaFPehgvvXhqMA3eY4mabRdckJEmQCFrnCimvJh2ujab
Dw76WejT+ugNYiP5vcspd6Cq6R/AimAEyeqDATbL41A3SySBU4SaIJwxv/BCxxXgD4Hnh6hKkPUN
5n2rpfgYxLzIpXW/dnF31GXHqZW18VVSc9qhcbJEUNvSmyX+BBCX1Vqtjw2gpz3jpfl27ooXw1rp
LY3lM2wZf1fK+Hb1g1+oAn2wVu/L24uEdu8fTVqXleGpZi9gaSUeob7gb/vIW2s6eVmLnKQVY5g9
L1/zOEZnENdi6vlsa2PKAOJ3DP7p/f+XJH9Trf7fu8Oubjv4Ynr0PM1zGPnzwpUIPNGhNxP5EAFD
DO+Rk/XX/kBiieOABTQa4fxxSzrgXFf0pfYM7VHD9MFkByXzmjJN9oNPvuJ47Knz/CWImYg17bTg
mIIxnpKBQxxXq81/zpr/+t4Vu/Ti3l3D99BH1RHt9PSLZa2jozguXlpGAT7jOzDszjWTGLKmMfiA
5hHTUK8voz7uq1tSj+NoGUcl1TaA7eGAdI//BCB73jfOyfVcqDsdp2ag8dDewtOAVMO+w1p//Lvf
2nbxlCJpJyA5dsCp8fu37s1M06E4ldGkSboQNkHB16HHn1+0dEUArJz8TLNL898SWVDbkyvbFHG6
6xi6E1xsz8GsUMwMZBnFYye2I/igDRYw3e7t5+NEevVZYETj3KXzcAScP5+vLgU25qj2R9DJ6siT
iHHLOH1++yK+fVEUnR8GtVoTHU4UUn3z4uvTq/I8oFMlOmrlS+xhcULvg+QpqS0cilVKG2gTZ8vY
92FtrEiGOOWLkdjrA9B95GeHlHOHpMmwR6afKGqEKTjoQwmab1+Aft8i88EUr/YfYZQue931bk3k
Jo/ZNPgkiaTvIyixvWZNPRbi0Af8xon0mfjmGLO5Bc2iYYfLX+tSxzhR3WFwM9CbCmL+e7v1mRoD
stuYK/+vBbh0OBeuGNcH+5rpJPQcYTMY7j7PPXrZpkCAKe7z52rNnp3ceqjEGl/BYIa/QnoszYG0
fkCnVQ/qgzYH+nZAbn1fNtmLTMgrBzx6IPWS8hdjwIIzWN91AnQHUfJnd2QN2kXyqV3Fuh/L4DFl
ccAaBp/hWQ91FmiHKWWMapn9E7iaYDup6L0sRfdFzOTfNl3J3TzX5hZ9VR/wWm5/N/SFsGx6DHRI
Z7tk9ndWy/AicRlNUGN9qyVNMxpl5ocRpZVNnq0cxCuSs16ZvxgpDz0mvQ/VhftN+v6DNItfTPBB
esKATaYJhTafwD0NogsLDpAdONEeLSHtyVPUTDuWNEdTy985uLVtB7tL92wxCB9O9mzZfA5H2fNg
h2giftXD+7Srk1OKj7kRPLaA+tiGaMoWsZ9GJD+wtYfR3pYWn6bu5Ac3WxlxiOGOBCOKvfoZIoc8
doOgGvXKLgxm2hDMhgR9ttylE6/YKeVLHTDKwgv9uu1HptfFC1UYg4Bu6XaJzYN2U4UJtnUTW6xA
H0+5HQ5It0XMGNxoOQPwoqEWA5e5iwXrvFFH5oKrMugNLoVY+Au1MCuWL7t4CYAnJuUUV87nscCR
s04oRE1c2TDRTF4apVRZg57d6Nnk73DlOM0eFV5KsbUt1+rZaqrybqCDs3VHzf/ICGK/5umza+nN
IV10ee3G3iMjMp6R9PTk5lTV5w9DZnDbwWQLC6DQ0BBYu8vEstFhdGy6uOw3Is2efTzjNk5iPVh+
GUT9Uj77+phvCla40bM1zgtXrtx3XM97AB0QUioXRpT/KAISmRTa7z9boGKFGYb1QHOzA0FN8gnO
f72pZz7WkKlsQ+P3mkpYGz9lBVkGn7/T2S4Ct6+NyYzyNOkIUMFvzrYMCAvYldnz+ca5XbIY1Fz2
ucaZhvwJHqDO0H2hxxDsB4YOoGoRqSu9VNw0QdCGGUSNrbcERbi23tFwZ+6pAm3NJBBTpnk8NRgk
bXMY7vsZ9OGmIoBpakIaeLQIAGQ9sHRpiqoPjBz2g1m2T41gX7lz/tKClUN1Ln8+hwtIDi/9TB4N
NRZx5TzhAh2la68qfOEuAJWg9YF55yVSDJAPreRTZMneZkQUy3fM/FQ2frHDm9ffEaiK0F3Fk2M2
p/PphAQ1luQJbwAFivjKdPOXRY/jezNv9hVJ0jZzVzuUXS32zmzuiKc/65JgYpms3JqkawO4+FPX
sY9tjd8dibWF2/BCZieSXvnck1+pcAbNgZBXurfnoDQ4hJe0755oQHEwDu6t2aAg15bOA/VOHWUM
rulD5c+LltGUsWh1lCMf91xNAKBl7JNZWqiOHbfxbs9POC3Fi9oSWMg/qKPAc82HXnBj528gzOA2
q/CH0esYHcTp5Cc5lk61WjbwC6HHO1XYGPJJz23j5Eg6EiIpoQazVCS0wn8inW8TTBwUH5vFIaLS
yQqJJtNd5y890En2b87ORMxu5b/ybe2AtVd81auvA7ASezom2GsCd9QBM7uZxTpfnSNxNqtEzE1g
sGb0JDjj6RutPmasosXzCiArd+LP+051LPyODzBkmJVnzbDusXxC2RNHuJ0POXqHqhPYGZ03dj5X
LJShQVuSPBeuQ3cpDpcUFIAV0+vHHXLcqhU2rwTjVJCmE2n2I16Am6lh0UmmYlt0qFimqpfiA46J
rICEQn3dLsd4EUuUjZcS9amC6qhN+MF2pCo4x99SRccYf4+oLgxrowVNc2hzMO7qjJMBF0igudK7
YgN5a3FCjwILhZZwk6Mrsjunw0g6lOGAwcmNFpfLJ7wrMDTGlg1bC5IrfS6ez2ul7qtnpiwv9To/
xnoOydCRtJBGXrU6beKAuFj0bIFY9sXNjADEztVcjOGUEIPdS+hc4EfRM6nbvTfiYmG7IITOYCV0
9sjPHdibbZseStFw4C19e0uUbEHzp/3RnugZMdp3N7OVMrA01mBfDBOg3gYDr7ztbfT0JqD8ceqg
vSrWBOlv1Vu0UL7ejwaaHL2f4a7ogQ/LoKxAXnmKQeftZyqrH1pQrB8RPxDXel1geif6j4C3k4g6
J4OQYxhPqMgxZK+WmowYfkM6GDHo5FU/wJLdM83kpG0SlRqIEZiak3r3xlChf78u2PVNyMcWS9ug
tM6xUKTkye0qby1Qx/hbzLSVg+R50Mp5l3tmt0VaycKSaO32yLus1/Bc0G2tCfaqzGvAf+xSI+Mf
PhBRB4fjQ8DY7jaDxIOKaZ6BcCppecJM3HbKDnIuE5scBatfZEA4eZWP5GgqqzEStn50xMZoa4AC
MTq96F4d+6B9KgPQHwHQq81ouRMaBRAPkCLpImGgYJDRBOTyOT/W82MKUbZJVyUaYRjDXg7OFb3z
b0mZTL+KXqaHqmX8OKEasqWA+oEkIxOG5ccwkzxrTBc3qQZfFk53gQ8NYu+sBolSZp3RmcWdMwbA
hgeXmblg86yDltNEtrpJD0ck1kme7zWYsUifkSbqiNsu9C7x6/wBaekGwdXrrCH+2uPEZH66ki4S
w35WCUK59ku4bGlvAv9gzgxqi0H77vRE3bw1rGO/2g8JPjGbHI0CqVlIoICx2+j50O1kZmiHFi4R
EhAVu1ZVPmvB7EJfCUvZkL0YcxPs05T8yUAWhFFounyyertVX3jFuY0TCKZQ/DLlWrM1Db/8XLeD
fW2v+tNoEio0o3tCToaUCkbFjwRqAeGtHjBS8DBgbEiCU4zh9vhWyaNODVegJYodzzmO21pxUl1g
lBgY5htOH2pjE0SDYCJ9rujRQiYcWGxTX5DIgPh8YEIM56HOEMitWLeNWqIUzJE9Tc8BEM6owEAz
9VkxMSP7jVaPBE2OAnWfquVt0H2IOtegLOS03gSk2YORPhdO86QXAzmyoz90QDnwZ/dYoWk3X53H
SpnuDegWJPe4QZ7EYnyjgGz3+ujI60435adBK77mnGkJBuKtuQRXkySomVNe3OSQKEL4wT5YmZ7s
WoXTta/Wm2LgxBv9XkCu9x9pOT+LpTqRYMz3qzdLskDrRkjyGs0ITgb6xdSNUKV7hd0FqPkxMCfU
cZh+9WbJsyIPcWtPeXqvAxf6mum8+5o0OVSd+dJmhYmS1TBofkOCxTutSiX5aHv+58aqJWot2fRY
tRocKclyA8A5IlGD9i0j7y0CEAjgduQ5RZvOtxqU3gEQhwrSyvR9HAW5dwfOPp/IMc11FFGd5Zu2
kc2hTIwo1ofuaARMJrT0BTDLk5ScQ13t3CYW93k+0fuZIkylO61aqwnL5Da2UbZOyAkoriFtW4uG
0RIXsNWZWS9NCW6HqmWdaRDBIClgJ8snwAjUC9Mw3SWCLYUEIR+77uuoH5b4aqEzuQn0cr4rsHf7
0A5jRqcdennC8Gf2QOiWVPTh+ZRDprA+ZSMjlsAGG5r4gXFKBJcpTdbwDOP/G0j59KfMIJjStWAO
EQyITIPchN3GagqWOP5eTh2/IqsXfQVQXMVAREtOvfPqp97E5y7PrihWX2hC8FSlYvzANAjMB6DE
lHoxJ1cuMJijUeXYKzZySTDeOC1fZCnUGaiGMkODK3pHDkVQSMSDBCrCYQZIBhwqeAUdxYKMMEYz
ssAgw3S3OOheacOaEXHFNXyVNbRbLr+UPvmqTYKVaeZdKUeUvWwmh1hjGNgI0pVitXPEDXyisbYf
zmdvMLNPUzt+fLvwd/7WXqDHaKLH5uGAc+nVMua4xiT5UkQgeCnELRq2To9Rn6ApiEPvCtHXYMY2
8JX7FUfC1KwGQo347LRf/FY86n5msIcpdFWaMXi6Frqe91iMyT0aFCsgOk87INQ97NIJNSvgdPdu
peFX5/ckwH3y6dzIPNdIzMN/Zn2Vvrhzj81JD5MBcj3c9l7BjiGbu2KuwKYYJHSjSko9aqCeoSn1
UoHyce+Qe6GU808RNhiW/2Hwf+ZaLK/rrsVrCg85VpSaD1Lz7pzEj5FgMuZ/v0XORADdY5MBPV0B
NaP/vSOVw5epoFIVqJJQcvjeFF91zGsPrknShXr150y1Unk+zv+B7WZgL/hOi/p1AxSpDYYZoMzB
59PP/fMWLNz6nMwshij3gI505poeOkmelLotVFANYHQKhpGhZWa9064y/tJGpHxX0F0YC1gVXlya
nW0MWREMkQ9we+MQ1Hc5Gi8Ks1Xt7FWIbwpMF8b6in64IsWP1fgxEGYE78h4ent1qw7cZUvT1T0D
QSDPY3lf9IEHc4AD2UxFZKsgoBoGds+W9jrmwGf5g4To+vYl1eNdXJL+qOMB36D9TOJ98ebrXqfc
jIeoiy0/LFvIZm3C/zNK/MY6OTJo1QASTbLE5WGsDm9f/S+7mTkBNwAX8TzK+vPqFS8Vj0uksFqf
ZKygobNFsa57Z4X/5bXSZTZhS/r0PV+NqThNEQojl4hWI7O3w4par8znbwzib7ug/Lr0ZfbOFY2/
PRjmXSxc5CLp7qtV91tHv61lQlpS9VGS5d01TJFgnwGUOBISaOVMPiBTag6h0z1To/VqLpcI3Sex
mZMW89Ax+7mWn99+1xcQGdUxVXNE0CQsdprAF4sL2T+ZBbpgjxX5N1y4ll//JL9FTo5Xzu3t25dT
U8aLleVAaAP4iXEL7FHvohE8mGjxxfgJR5DQbqVpBjtIk3XYxHa21cmagWG438GgfBIYqwO//CQz
V8NvdLpB6+hn70/o3jgwYN6+LTWVfXVbgekAWGLlGUhz/PllkA4TS+IlHcjNkT5NSfLstoSaQVdu
RCbouKY9pTTJvli9EPuu4RNpKZbFCjRgyJnGFHkc+ssALbHdAlPhWreT0ctNn+c/3O7g9Pq8W21S
kN47WmAdsOF4QeoDHnAy5KHWJ2GKssTWWxNU+mtmS2rqWMD2RlQOvqBd9QitWaq21hG+QwcMXVgw
n7waWllqbHc+2HBblse33435+t2oSTLylBaQLcROL95NYIxzT2EoIsTqZvTL22Tr9XhnllNFX8xr
++2Soro5Q6Td9OOonx+T1urWLlsY2j5IehCRIzqOsrgS+qCFDliQcFR581qQlXZVApYeF+qN9OmE
JtW78ewsNvxnQPNAS5mQHhTdAb/iP78vvQzivCTZJCmFXh742o6eGvQqT+KsjdgvohwnP3BkaIDv
BS+R7eWEPsvbr/L14vew7mN5IciKNrJ98SZxELCg94B2FIu8MidejEK9ZPXovnMh83WkYXSIRjhg
aTSYQaP++bxMQeLWLAsRxTVdwZy8x1gKEKFeX7+UK/gez6MrlanuMjS4ZlOj4I69WwAMthqT3STS
Z5MSPpuYN3kV9V5BCXgG4TSqZqwp3ulvn6TFbN4qacNpMbXL22/rbx+NAR4DUMfT0cu+nBzXVK6m
saYiStEZg4WN5Rd2oGJbQY7ezNXchtY0/FT10hk8M7Tpy1L570Ss1wESV0JkoR3LtOzXxwTqiZ0n
DENEAH9/WcGC+KwJ926AfrKdlveuZr6eYEEqBPnI3Bc9Rc+/PHkbo4e9Ywrml8jNFqJZdmosuSLw
sA2MxKGBS0KteLUbcI/JXbU2Tw2+9DeuYrjZOiobPv6epd2uh5HCe1PA5t7YFZW9FncjxILp7u3P
9Poc5Y4dNSj2XCL6JZBAOrNXdTNby9NQYm066LDoWRXhoFM/0coGQaaX7wwt/5LwczVWhI7sHGH7
cieVpA5T02LYGuc0NtvGsinEZ2yQGnvGQKinn4r1MhXtcOxoT10H4JHPPUP67VpYmQ2+vMg7RjGD
ol1fjLANHAsH5SYx9i3ZrEAfjuySsltR9syVfOvcE6kNCieT8fO+91Q0yxz6tWr8YiNF91BQUW0r
1A4OELvtKCkwpEEB/VMJ6GpjaAz1hOHCJWXosE/RSwPLPwWRoyaUAD0f5ok+yXm20ZQ2Jttl8ENV
wm7Wc7lZZ0IRf7PQM9gKAdEYiHf93wkbrmUD4GEmrIPZ+DNsCBD4qbQJG8nSp/cYLdAUoHzZm47d
o1WFC1ZqU+SCb3ymbU432+FD1xM0xmmAi1K7crryFnpE51iP6jOj0SXDJ8ruhLPre/PrebRpCwO2
C9Paq4px9y3qG+/Nm18nsGBjyS5AMyG3rzsX8V4mNiNY6XVR7XEYo6BW7ypPbQk7Ha8TGVTbwF+r
r7YfezuwoMU7Z6b9Ov4il+g5FpgXsEaIjv75IgN/LoJprmFEl0zRGlPO90ZBv98v6YRbbWB/rgW8
rsxKi+OghCELmxNy1uhjo7dB3VjU7W7QUQZIVpYpZxcTJY8BEGoA33RjuCqW5knraL6e5w+0NgyN
Pl8852EaQ1JzhJoGODTZc5qSkY6E507Oqp27iuxBtpON9o2zg/R0kqNiTiPegLg1UQU38hf+p3hv
mv4LHHMZ1T4Am8Jj3Ph25PhLZoF2FlYWiIDYnMqueou/5cMjs7o6n9ImahlSnAcEkIIYCaNiBOeV
bQgJDC5BsR4RnkF8ICNjiLPPDA/E8TyGWRXBV8jA2nJaP5QqvrXuo50DCI578bVmor9LFmYRHo7j
0dt3/zruweAko2Df65SplzXS0CNsAwq2iTTfjoyY+aIKFcVCVXzuRmEJ/k7Ue5U8e6wp8lOKMjiA
HOwXqwrPp3iRBZUgrW0BIaoH8awm9+dZTHf+vANDoZH4ApID0MigxoBj3/obC0+IULYSMUPALBDr
iTlvv4/Lg/J8cw55LftNoYbUn//2MeH357lW1EUECwQAt+QeFtIIaCUo8am38m9fTm1xkEqWQTHx
6tgphIM/V1NEk6NWLRjWRSOhsjvWDrXjexWxf5kFe8Q4Igo4TIBsqOtfrNVUjkwbZZZGaZo6pyDD
kiGFgbmbbeiRssDFfoL4GGYKF22Rhh4yZ4oPhqHVt3Zje18muwru8xEpVGu46zBUC1u3dzf2NLbh
xB7d0V3prpEjqqNggsYq+jo71VYOgnqsmG6ufb3vMn48G6WrZtcPGe3wYz7Uxr7JO5S+kV2DNeSL
AzWMjTZuk007O3HyrW6l43GOpz0dyTaUSWtHFZJQV2A5NCYqxV236Eg2AweLPBPxGhtAOSZhWr6L
8yK5Q77M3CObOO7K2vd3Q8ofpKb2bCi0nTG1w8NCoravyjjfeSmVWqyc8goyOjqCkrY6+gMMfovK
ugKg6oADK4J8h7VyjRC9jYV6LscJpAU0X+ySrMjyWh/fSu5BE3FCf/cjEjh3SZqZO43u8LXvaivt
n9X4hh+NFfVe4byz0azLRB1jIZIwLCUpiIHhKZL272sZgXIZaCWnPAgK/3Cue6wS1Ejd6Uy2yaVy
s9LvRNvWUSwme2utCy6HQn3ABp4YPAgUBvOBvN6TXr7LyvRHiazt3gd6CM1icmkpjXa4aPigIavM
ILyW9Z4hgr1VXYm9b63a49JM9ilQP583/V2fmo+OB9pkml2QJM5ghYOsMNLKO/+dhtPl4QXsjw3F
DiaPIdDoF0udyGk4Vlv4SOeukYQgQIvond17GTzPl/BAGCqfcQjxFy+YKsyhEZD4AAZysWtG2q+j
HCkzlBZZ11st7wb9+7dDxmVSwEWJnfCK6LCrsHERoRLNd3M3ld6+RXYyZPiFssKqt4zd4A/4FiM9
zUI9spE6mq190b3T1jIuc3tPOXuAtiOBp59Kx+XPVbW0aPjnVeOheCU05vJ5x9e21rMiMqmgExxF
0PsR0e6RtkMRlbY7fnr7FZwRcL8Xwud7oEVuUssA+lUA8d9XNttGeqbU3H3uFtpuXNruUNmWpBDX
4aHKMQvQ4NS777O+xre8SPu2mUGd1r3pf9QKD0HC0cN5arLz/YCX35PeYdhQtx3ZXSr2Fa5vH6Zl
6XD29HicPvVObWu7J09M7WczAZWAK7SBlUbQ31tegm/AqJXvJF9nh5E/npEEFmUDeGWY2cGYvEj+
lqx37ZYjdD+wq06TJee9LhJjG4zNeHV+iAATtHsdzd5Tl/IHDB7jbYAt+K40wI6spGA7i17E1krj
5BCgyrrzmlxjX+sdbo+o6YDFOGgjtluDj69qllgPhVlZoZBKGB9VykPZuohgO6uPbqM3MtXGQ9FB
383BFgQxnH4F4dOoGXut7SthrjupDFTRutsXsu1uZ/7LvXBHIBZp8gHZLA3uyFSijyhQ4cwtgtBw
5Uzwo1YbveWkTccbM/P6Jw2Ry7eXjPXqYOd10oQHU+nRCoaX9+eSEUEQZyt1E8qakt7JoEkkesYT
erEfK4xIIcnaBtaUBl4ELhKuJh2vbe4I/1BgH7jRMrpXBfNlDDLZZnk9ptdw8/XvLSQYxsvBes2v
uKdxbAZFpK8PNJIGKDapGyEK9GPNRXBNladv9R7IntN39r418TqppCm3KFl+RgsNkuysPVY0pHcF
IqXvxA37VbTCUY9qk7aR47OBjYsFlaMrgsRC6eyNkcPbh6PwzZwnhmDcOLS4wTfDofFxNJlmbW9p
FV6qa5teG6hu4r2MFl6exgMstKb6lCUK3pGx7QpcQzGQcHJtb06Chekm2k4CjtvpCDqEmB3kWyPz
kVDWfQPB3SGal9QAS2B/nEbrydYQ3VkC72OcZj+pdQZ8juVwXfWaB/VfjDdJnfn3PflkmJaodQRj
STlep2JXTXMfufQGIpuR357BJAt95JJzUFrv9HD+tnaYXNg0vYl9r5JC1LFTZpSsHSzWXmAb+Pdq
r0g4VdvJgKL49lL1Xp1cKI8jkUIWQbsm8C7BzNVAr0ofeiIscKpdzhz6CWBZei3W2tjqazXvLT3O
b1O3T69NXxLwJOmXMfHS57Elg/enGGb7+GUM4tOUuDfx6nR7A5TP7F4tSd7sWrwO+BtAXvm7W0FO
uENjPd7KnOPDnNjNpO0vaGCuD2YDmM9oV/SDmgZJSos9ICgKT3mnuyFSpske6ZLp04Rz0AcG/vHO
MNPxQWTYv9gmOI3CNmhxIdcdJhC2bgBzBUcmsg89/JhDUCxEDtSUMbStvZOEXXEz6YTlThTFvlO3
w8S0VIn4+MlZWFvdyLmmpaOP3peJpEHT9uzCXstvTb3R4WbX+jcr9kogMgbj7DRtNDRwK9rOY6Lt
W17kJvUMN0zpBZGBsiHWdzbaX1YLi4RejMKjq1Pyz0jTIVlZVAmoWB+iIjGE9yeFw+HUIBzqOWyI
t9fL6+sphR5kdZgAsTgvq3S3QOMOgRhnX1YVCYhgNyj9xyOYI/+Qrk77zm4wXieWlG0wpal4gal7
EJz/fEIfeFtrJgmuMqA+wmwBGYqVlnvKKgZR9aqn13NgZ2HSuXtkqOVBdoQLFz/osEF1betNNaOA
CVGKmcoZk2oOKn3kU+uNLQElGH0kWh4lcxv5oeoI106tDnfcUjh5svIe3Y/viwojSQ2hN1OCYujK
fge/iGSoCyo0bzJtl9CbfMR4sTuumAWVY1rsmTK8tGga7tbJeSm88ruZcu+a3s97dFPXa/paZmgM
yLIHjXzEip1IpRH5z0erKEi1JJzQJxBlVoiBw/pgAPIFI8JuCtDni1KW4HWTlvr11NvK7UKdphUK
gYkgLykyzhlUoNeNrvbqYhI/ZDUsz/VKfCtG1vmKJs6ukLI7gCzm7CkIu10hWvyyCvy5a87MEiEg
BhaQLem4rLtAS5kCLPic/vOnJesdJVltj98t1XwDMmQ3mFO7Rd9xQX+fX8hTszvaWeGxWQgXmTGR
D/Tzykucu2Pa6/6N0TLAH0r+NegTH5Fodmid8lf0hAyijgP8VTFi24L57iOZdPI2M0AR1X3ccC7w
mJpj5Lejtq7odBhdOCyNG8FRgsdbZby70vGjcnU/uWi9VeB10aa1zSO7czzBqUGIb2LXJM7iR3hE
kLJkpNHn7R7gYQMbAocgTeMUEAGZTlrx/lM8Iija+Rzn3fX/jfepLvSjYRSSJcB6/9f//NeFd9/7
73/8C25EHMAPwy+5fPiF8mn/n4oB6m/+v/7hv8S83qF0GugJGK6Cl7zB6ZRD/f1H+r38H39xEPy/
P/AvKqen/ACR9vIt08F+Uln6/ovKafwHPCAUSBxDyYQpBbH/1AkL/oPz1OVvm7A1bcY7/4fJabqI
LugIKPBzdGJgN/478gkUFoSj3zNpIBDgy2GMQgTzHZoff4YrPL7EknEoHWWWJTmqyl1x53XOgHx2
PPSYGMxDmR+qshZIa6PL1CMcUA/trvFS80hfLA9dw5RHFFkd98bQYcigKpbxTzAl2dc1E0ELWx8G
TahVEt2gxoXo4khTD+nnWclt4zhVdtDsRXxFVwHZlsbIarnhNE+ooxMMQUL4nd7nbiKkGr2HV7sv
xhBRAxOYm28/i3UpijCmBGFe29R9ibZM4q/bdQqmh8AY8uwwN/QotuasL+ahnXMJlXAdQR6PEC3u
LbNFJ9sWAurH4hjJTY1wxQN5HuLpRTsiM2DkE3o8rdZiJWP5lf6SZnqDewoYMHRBsX74UKexDR8t
rpKnFv4WmBJ0xH8gjNPfixwHOxCXNaIruZiGjSXt8TvCwvPR8XFogkziZl/BfXQHGSNaDRJW15kT
uHI3VaZ7NAzUJq2anBVd3Np0NxZkhcfeNZcnxkd+v0EFMu6ZIDfoHfke5YK1yoKu05JXTig6z7ox
K2O6mWb0FayqBJK42tl6a+H5ZHw0OaPwf7eXNtnj4mwFX8a+bo9Lm3ZGWAZoiWI2lphttMwGRneb
Mulldmy7ztHvfPVekCNfkfne5/Ag/McOeojKR5juxtAzn5h9wqVcRvWy0uPQp+hN1WIK+Rn72grs
9uAXfrXcGZCI0AD20tG4SzyfybPm9dM2n/J2Z8QYy9iDPiNjr7/kS7uEdQGMaiLOHRuN7jA9JHMj
W8OEq9Nho7XE6y1HM4o+FjqZy2r3+6wwFtCDANRRsHUnMLjB4H2ksXqchGbAbEQw7korhyq08/gj
qRX8/nL8YgrsAguXKSjrA0Cf89OoqmM9yuM0J3WE4jd2FF2AEjL5RGjRwLtJTKu+clk2HypLaEcX
qZ8tKgS8urb1UV2qFBVa4EAG2ABTvK3rQ5NcY/+GAgWfZxtv4nqs2lOZTh5f1U5/2mNXRr5dV1+y
3qlvR6twDsOoSFRBA+8/SDFmGLvkrkDnHFuIofngIaB7yxyV+Xzh4IvBhE0ByvT4U1LOH9F5x8q5
L5LjMkwIJXievBJuqvQNmnjnzZa2sZsc1nZufWwbA834OoGMi8vW3o1LO7TrCdVvOzA2Y0wrweiH
m5b5MGpgKZ2WfHGGxzIV96OQIFt0DBgG+CVkz2l/F6dlR5ay9OQqILoc1JIax+QYk1ssmj5QpZaA
OLWPdS1+DUN2X4Cv2Dgx9JSy73sUDzrvDhWh5CnxEYNK+RNm20X9RDdXEIysR3tk/S/47zpV/LM0
0sgY6uCek1b/JfOMld6Ia+F6A01NF0e6QMNGD589r+6vBwao23bS+PLCqrZaVawawOAERdOhB97g
wOS2SswTMooPbBG7U56i1V53Vbml0J+3k+eBxV2c9Unjvvd5Hq/UZTYWoVY+3aB1BSIcke+P4Is/
umgGX5UOGqrAT0eqQ+mFvj0juYeo9YNELTU0vDLZMApeb8EtDfZuqWbnkBoxAg80aoedm6Mos7Vt
dOpxbkBlWI/N5TOGJaigIuV+GwSFCN3CK8IgdZwffStfRIsxpz747dXsxtY+RdQ5pKhHtKIYq3sH
ATIYd515NYMMfW5EXe+RREaLIpmQRrF7bAnKUadZiiVotumB8oTO0vpfpgDxcFGMQJF/O1Xv/zmF
fhfbQU3o8nRCBEEhOnRmwKpsuOhTNo1s0zzV06NvdmO/i42pcjHEaJa7Do7Jp6lBrFdgFkJf2WrX
alNjzvyISPRC96Q0fg6oMeYnuqyGgV6fA4YBnywdchRfH/A+jjObSZ88kLFeTAHNgBcnrNo30qMz
VP50N8PflzSz1+lz51rFhwUWEuq3ReCOzrXIVv9mXYfiHuMgQlQr4g6ovWX1wLL77hlctErMUvdL
0S0NCNliAdLnwVfeYBHtw/vwoCkEmH8dp8lbooH4fo0UzbzHOgPjSwu5SybvAcJwNM99k9zOKmGQ
0V7oP2PpLXbupMH0Gmikk8oiit2ThzCEdnJA3Zxbvd/QiQfKuHWnYF0Oviu1BjiRQTkaAWLFHxyz
xPEg9cWpTh4OFGGA1diGiZv2C4TXctV1GPKV6N+hqW/r2oeicMX/pu68mitHzjT9i9ABlzA3e3G8
4THkob9BkKwivEnYBH79POBqRi1ppnd1t6tQhKJbXc1Tp4DM73st9Q+tuORjY10bKwpvOL7Xk1Wz
P8SVIH59mi2yiVFS65aLpYfG/IKEVLwUWmWtessjLT+TkONt0SxCHcK00qN2Y4XeLRJesWxwiCbj
kX6ij7KlKCTCoWCCyZ8r6gt6tmgqSu5Kg/1GAHSuYKSah0hP8Y2VfHHMG8uim8NSQNa1Hfl28Qfj
OhruDCajc/tDqxUP5lz9GAV5hPjbcq59HO1cwNk910oKBuVkzzUVQcGiASPfT27H7jFWTb+u6GtZ
YCUoXikKaFa6WX2SOCWWdW3jV5qw4Bo8mxfpSuMWh+LLRarwUJKY9o2KhcbLVjThRvOiRlt6LGzT
3usMOzwUPWEzv7LRrl7Bg8HIvNT16XKnSuRcTRXBaq4SQtE3rIy5hkuvPkbCct7agC3rJgLy5Pl8
rhyJ5Q/lm2GF0dmrWuscR4XzOSQB+a1VD5sQCkv7ZNUjpjh3ehJkjFZsfU2PIXVcDJt54twsS2u/
LNQXi9T085tZqI4MOAjarcg8+vFkJ04uoeCnrux88oZgw95F7oUPut3aJ5KlmAjkwD1P4c7KsUlT
dxzNe5QgHQs7tpwPplpi6pAWhMZu0GV2iAepYZ/DVaOTl66lD0Mhh2EJzWXFa2L+4rkVatbG2Qwc
zZrDjvjYlDT1VciJhXKynjq5hDcNz0QF+XydZsK1Txr8GgZZ0saT5C8znvy7K51ux+hFFi7BiXA6
laTQE79MzovQEd44+hOnn4fZbk0eUvHsCDwb6Zha59LO+4cw8f3XrmFzjnMbvKQOwodJSxl5LL0u
bnyM9NGYqFPwZMzVNNkZhYfeQEiRtAUGca9x76I064tl7UuxJhSjWZu1+TbilDoAvOCe0Mc0ecva
2H2lBPa7rzpNJ8us73eGXmxMong5sURC80k6qne0WTUtnQpZ1KLBrviBt7W/0Q9svwbKpQmcXoSg
IpjS9OJFjIFtBzJkvU8pPmIuJe3NaePkITYC/6NqpHo07Bm6AnRPgfBNuj2YwgUFaXqfrcGgybMn
u7/bxNbkfHW05O4qrWvBr8DL1Vp0KWGSRglovLRVO77rXq2dUdjhBSyChPBTswjSo2Yn8mR37rDS
J7P/pZOliSy0bbwXNnZaYhPf1KxjmZohm4aph69mN4wBsksV58tKq2FGWy6LN/Cj/CYGL90PAdYz
O0SziA/HBgSzg4JgCp9JjJxyv6FGJifohc4mlRFAJqmIEWow31u3GtOdsofok15Xluac2s5TlUzt
QhLWjbUodZvp6DFj60aVhsdRcbxsUJ24v1hnjbsgdrpDlJh1uoWXmp6xjZmEt7YGWtBQaU8UZURX
Oji8z1IZ7Q1HHyDj/EiyPKUq4yEIeQlzikh55SXPCMUlhXOHYcbYx3iV2X9UTv9j24aENgNbh1es
A2Q76bF2GRPFYe/qEZI5RWfDd9vZFG80ORnAuG91cZ78GBAPUrM/SYxub1NkWZ/AjCMevcSUv8eW
piBDOkG6LCGaXwsFcr1J0aiSt2Lb32bc9/QEYBZc522M0V6Srr8OtD7tF3WSymcDteOw1AqVU0pH
N8CCS5S4ytQbiWLWGgXXF03tsakT/wJY6T/w/RTnoTWYOp2mfsvlQCZmYBXFCj7OrJYULVZvFIi1
ckFAfFcvqRETayMc1L62tWFLW3RCL44APlkmiFXCRVKp8oLpO76QTR/upGY13oKCRWtXF3TzLCl/
6rElJ8RfL6PYBhcq6tZ/xjRGT4Mo3SdDM8ZP9hjKDxIV2/ZCkg038ijE9bke1QjQ1uLBGuvh1dT1
W6+18pFSPRmvO7Q/F5Id9PLapyra9ZMpPrD+uvxfY9ae49BUe0kD3hrpN8nz0mq+Vah7+UobSu9W
6ri2JjsJn8ch4yZKe4Jn8zqPUNG6XnQMMaelGwZh7RSW6Jo3HfUd+wiECcrAip7q3jEPY2G19SEl
hyLZktJL2V9Ye8O58KP64nrYGjIy88gsyNUCJ0Czd53eeyNWR91qxi21MrAf71mVnHBjKItSdebN
ekMyX76aOp5OvI8jbYeSfhleIJCT5eT141aXg/XRj0W9J5GgPOtGqoiJpuR6Ydf24LNPVkxgEeAk
DRpSU1etHqjUycTw5RIH+iusMg3JVuLlNcbDfp5YOSc+WGd7zEtF6y7R9MtVX2gEFysxuIxFyfgc
DklGPemk+TFWSLJnF1YVkfVB8DPjr+TFHpdhP1lUAXlyn0xd+2iLLDHIhKCyCrWTVYTbEDc/hTm2
PHkaVbSQeLN/vFOvVUmn3yXXcodnuJ7PzSrWR2vFeW4R2wBlda1gx/p1zyYcb5W0R+YLt5zIvWAq
QghjlmvU29SX6Jk/LSrZhl9TPVnHxvNSfY3NZMJkmIdpuMphHo/oriRFgkMwjoeBNr9wT+hNHa3x
jo7vlc/YplOt/qSkL3+LdPD2uuYXL0Kk0bNPW/e46E192A66ZuxLA0DVcVS3HwuisCdcl9+UtlOv
GCCbxPyaF5laysbrV6MRNEgNhbblSqLXLR3Z43SWsdx0WfNDwBQEYq74stHKz76+SjxOlBatC5Ml
MvSdg4uuYUMvtbUmEmS69TQQnTPQmZWppeXCD2jEWsYqKR8axw++yqlCLy9qect0Sg9XYdN0GwKz
NfbF1oofJkApiPIoe7F9rT9nqa0ey8ot0INN2KD4rnXaNlHY+UUVnJpMF4eeF/5xbBn9ay0bd6Gr
SJiisf679NziIsxaPPLYMwkn9sEA1d4rI2hpx+ntI13P09GdDBSkdMXtUeeTw9Baxdak16txxY2Z
vL5Hti2PBC2g/+msckersvOm8yf3GVikHLIDiU0f2/UqmIz0ruqK+NrQVw5MRUEzCSLhYjDBGZrA
DL89O3oKEP3tbEEZdJ1ZqOz8gSh3atNHS9R3ZBG8+T35JDJthq1PhcjciY5rn4qlBbD5i8+BBbxc
DXvRxF+GCzMAWkHYWp1UCzTvzANmdzCjIN45YZsdAy8xV7CA1OAaKntHDVycJltmC588fT5k1uwQ
sLQ7OFx3pbVesuH302zc2Caek7ytksvzr9e4f1FF6MJGpA4dbxs2MXfOP5GrGsdvMXCQ7M0+Nhk7
5ynNo7fsXA2FPSwFj9C4RIlgLKrOIoZn7Nw9wXLB/9Hx9i9ENzpzB3nXjK3yP5b3T96UugswlBqu
2o9ESCZ9034CjQ9kA/XEQl88gq2da6pjl18ThDI89CPdUHPiRAs92/N+R3b/PChTgJONZh1u8sQH
P7MiQWOTI1AEr+xGEy8SF+4VUp1v3rGyV09SDmP9AHL50BufbqGKYmmyNb4Af2jEgbTWzewH7auO
aB7ECxw+ubrVuWSdhPFrG1uzGa6nYlaPAQUIXHih+JoHJY7UvSydhBQXrD/rcdLTI9ED9coaS4tB
wgovA7bbZYtc6cF18/GIttg6dVnIdUhu7sZS2atplfo97UAHdzCoS5pBS3eGL6sfJBNnCCekht47
WgO5iofqB/YMfyBQxF76d/UDjJq2dH+RReVdlUjrhymcjBeEhFIuJEE0wF/zwK5a0ZEvFpLNHkOg
PJHTw3Oa/Uz3xs+k7/9M/VS7sAHEfTp+iaLm7IQBuyQ/ewL1u9YuwBqwaPFKmkjJ5nUCNMn5QMKQ
kVTte3stMJ8gSLp9peoQVTxIaDqNYqEl9C+iV2BnQYvA+uLNm0w+7zSY7PnLec8JItVGa48uwVtS
jmR3GAMb0bwbefOWRCBvvKqrXGxNWYNRzojoktNE+6TYhSVLzftWMm9e/ryDmfM2NmrA25KUinEJ
lsO6VvmROd0cqjfehJlVH4L2P0LRySNSL9iC+JJEmYlzO7FfbgfbAQsHSKf+NKic4pcWOV28jkQX
frcWtqXrX7+v5r/YMoBbSCzEHmjCTxjEkv8jKdDNjUFkVnT7mFnrVGkqJLwmlqumttI9wfPeXnp1
PtDWXgZrVZcXLyuDO8L48axqzoADtg0laNqkhYSCazQfFXk6PLD1lMXKBid9hbKu6IWMLXmzB2Ie
KjOxwQDjAVeuuiA0vAx4pYkSGIz+zsBQ10IoqOAL3ae1IVjS2Tu0i92TtKaA9KnIthzjVlkRUsbg
SkQd5uwgRJBhBRtDD2+84xbNutOJxQx7tmbrPSeeLjTMTlPHlU0/3S6KpSBzw2FA5e7Qd33lZlfH
SfSrVRpo+UpbhI9Iz4ptSOzOOlQdDQ+lVQ5gb2RinTlc5NWjMIk6Ng+0SoAtk7NMRGS/FipLD5PU
c0KKDRIdWMCr4pfbNcg2UloPuky0V9Pvm+cppOGutJJ+1hZlKx93ao5X2w3eIliFNyXGvFgOeVlv
gjaNtjE2/ZRb13bhLJJ2k7jjXA8meOVsZ3D4/dVkG4x50v/KA9/n+up0Oi9Lp4hXqvHHWeiJyHDh
dr2/c2hluA96P/rMyf1BdxnG6yAotAcFMgJSEJNWHIv+kCUoI0w9Ns5AixNPJUNnlvjqiEhWe/fJ
glvzr2vhh73iIY0TzwTnreSTPga8AdhMFz2dHXJmciKaYDqutEn0mxGn2VtvGvGjFjXms0wQP+K/
1aNl2UuOJjUk91ND1zFRkBRccEotbZf2kBKuATcIASZuZCRPhd5giCE/GtU79lL7EFu6TQ9E6wR3
WKT0rUMrGe+1n1h3VV7efCpSUK8AUNAww02EuMu+d7Q6PA2TynLgHb0LFolVtN61SOcs7GomkYwf
PsloVTfRBT/zTPpMOdWguhOc9sxEBU0GK+XHY0LAUmF+Gj+slQ9/Zf4wWQ1Slw0EtPuc/TBdhalp
YoGqd45w4PQuVpxu1VsIuhfvLGRL4RljsqFTZibVL7sbVM32bXqSQQC2LZkJ7UVV07SxYDOwnBOp
dfW+psx5PQzC2KOqosu3lzbLdedPQE1kU6XJLvGcBv4bAEOs6tgoj1ZnMU/IH0xXzfBuKoxX6VVI
e9vwkaCw17ieXxAzgRly4wMFcCj4e9/dVEbZzZ+amBeY0qOKoIgarRS7Kh2bj78+qCBI/5G7JALQ
w5hk2yTiIlybuc0/6dF1kPkUSNTd+yHhEf5FUglR9fc/P+Tf4rhP8VddNuV3+8NQ/xdj/cNC//2v
Hsuc//7zP/L/KMeN9Bllyv/McZ/iqaw/8j9nFM/M9v/+Zf8VUmzjcMbti/bL5Q/n7wnFs7qaVw9v
oomQ5O+8tv2HbSH74T+IZAxXcLH8LaHYNP7wUXQiFkaqw691nH+H1/6XG0yQpooyFPcGlLbgg//j
o6GMZiJdKu93RW+Xc31FtR2EzLd1YpwtJDf7OOh5XwwW47D7bQZOcAoFSNWfvrL/hsDwf8x8f6bX
588Bh4+9FkO0DXT2j5/D8kOtNMqg3/FGZLvWNTa2lRKPvHQ65FdHGFBJbSRRXV08p+UBEC/MuRyI
GWQha+uxk0TqmbuJeyE+W3pxtBLskbHXCtYnPFmOSzdnxcaBjtQW7f3YjThVGrkQBAXB9TwNDQQI
sboqKNZJ3lwVhbNDSqSFBRqFSDhoAEfz8KIl9AgmIn3sYqteN1b4YbspXc6g36u5easiD64G/OcH
rToPMTzH1GvTVI/WiKA1GMmxtK6Dz5Vt22m04IttYEJeIweyMCwnfQOBuCiVQw55bmzo7F5StF1q
5caRFomOL1o6ga8mN1KCD6RG7kzLPRTwxdgToATlTSnxRk6tuxhVekaD3S3ssBdLZZfezhLxC16z
c+1NB0eJ32UUUxf0rjX6E8g1nJZ7qkX94ATG1mzLNajHajBNuaDeJAQzJzOxS9dzEGGZ9b9iaTnI
ICwDP4PzbfpTsG+ECTYzWTknItIH5U5HZoST5mG5InGFOkTDZL53bnkW7mv9oSncJZ4DB5v0cJMq
vKJNAzcErXq0KC3OinFNgE/rDAeZWE85IRgLXbPBxG6yUN997u1Vo79NJGKM2LcW0VC9hkO8GUV8
NKUlUNQDIQTlunX9Jx6vRSrIKWVHQBefM2P361Hvz6EWvAbVdOwd6wGlNqpst3syLJRRxq8yz8+N
3h+7XgGrd+GqVPC0sAGojk2KgQPmDtWyO7ZL00bIrLMmuDyaMnKeoMj0BQHOv0rwb+K081XZJFRQ
EqiSJ+2X3lZA0npA9u94APxcA2uz4UUvSW482vmLW9fTJcHh9NJP+bFJ7ftA9f3WG2fcyKHoyjad
FXa9IwGZK0cWuzZKX50u+J1q5WmcLpV4auwcr6XUqISo9HtuUobOYdpXYfJiG8UAOV6u+iS6ToF7
1yu5IuNk0wvrYo/3tTfX6/jLpo64Z+2xvGPv23WdEa7oqL62KsjWYdJy16J1boFJ8JCKdOdFV0rs
76i1B7TdUwhWLImfXnAcXGnuAhYJ1EtFfPKUOp/BRIHsUMASakZ9kr5R8+akGYI9az0qpGEeSa6Z
t5HpFcp/OVTGfZ7nK6O0N5k+PQMQ7nozo8EzouR9cl60mClHy7Y8Gu5KJ9Zmb5WdDYund/RSOuey
Mw6R6TL4Tk9xTw217Nw3kF93mQKeYvojsJUhI1cX12y2hBUti8lzj30xrNGUfzm9fTUCsDQ7NC++
3g0LCb0X++Eef+M7def7uBO/ypTWEQSvuIgIwaMxapNmxU4U+nAH94zQ1MXUR8zaw6zzWk6BfgnJ
u1kXxrV2pqXe6HzzkHKhTq9oFZ/yuBhWUNDIa+t+Y48QmJojroLpkyIP1AlF9YjMaNujq1nGIjJA
tKvPUvgre3Sec7Bbh7+xMhOqqZBYr0ZVoiysn9ypvgRF+9aNeQVX3kVoAb3naRhv7gAdpXwy/tpj
GQaLPq8fwdMukyXf2ky8m60JKhXc6WP3Jsf0JR3dfNtW/D7Iphi1cl330JxubD6Mtvbge3w9OYJK
AKcDwHtMweKIlILUNwS0dbJzvWE/QJWbprWd6urbSvNt0SUfXohvET4DpDUyqc3lzS9kpZaG9H6j
zn9WAqEg8MwaVnUjrTmzySZVFiFLumiMYudN/ofZETglG5/nr9W3mYNswUy0J5ONfw6UXfOGndvR
eJF+gYUXG4xNr9JSz5uPJHV5MVCgRO3whv75SlbgI62Qd3rf0oen94uG9WHbEKtoluF+Cu3fSC6h
q2siKEHS7ia+Vi0ITsyFG0RG1AaXYPnjrCDWNNtbRjX29VoFawsggldv36K/WEPKXOsKwdUYhXSh
JNrJ1gUdT2H8Cz3GtpmyB9JkCSnVwvsm67bS5XmoPb7JdF077qnzrX052YehQTlUH5yI0mLCz3Yl
0gQ2ioMj3jorfQryZh239Rb4aIGKdilLDiFadTdtFGyr2llV5XvUFOfcd1/62tgr6tvbzD4OTbsb
+gqotFgZaOhhHp29HivkXwkNeO5NBsOKtMbdGJ9l2b6MoPXDkO1IvCTf13hFrngxhx61P42arr+N
24A22ibYTVo0i87rRydoP+qUHSKy6YFx6hfPr1ciA10lALnwKb/KujvDvVNg1yiEYqLq6nsauE6j
4uSqlLPwE155TbhXoaLf1XgMqZAtXf0Sqe+8n85Y3NCboHXXrW9UplByXUKbrHFkfiP+LP6OzeJX
FNoXy2nPllPv4jR8REK31juKfkTtv3oJQY7dd4vaVI4cneyYjajPQipewvKVV+RZjuLgZu90lb0l
ffEe4hFs0uSu07uLi9rVIjBlawbRCf/LC3GzqFhKICV17oi/Hav8IkX+nodatho1+9N35bnvzF2p
xhNbZk57kLVMfGOXWw2+ge6jm7pXYkDXGaoNLHog6cVnbo3HSCMAMFgUiuoyUVKDTPxuQ3JQnhnN
MoH8iW9mfrA4FCK8kRzLHYamNsftNReY5tvBOk2Jtx/M7KL78e+eqkOLDH44Au7PEhRdIXLJJGnI
+ol0TJhHX96FdnpfFw7RmM5Dl4MBoVCL8/YtOhXZndk8JcQDWFLbVE2CTqHZIRqmgKjHxxy7oE6T
uS6opBySK+6qonO3mRp2kJK/COc4RjEkpOQLrM07OzdZQlW29yGYwiY72gobpes816r+9GUXrFvb
zgm9jYg105BSpe20VDNJQMHA/QBOv3Sihmg3XWewKaEpyt5aEul7SGnjgQQjBsQW1ypy3iBUvsyg
e6HpYEsgEk3Ydv1cp9WuHJLnxK3XpHQuHbPfhophZnrsIc07Dl6CsZeWyB9kRTxN0GxHQ6zdXlua
4akfBBHhkboD+aSGoVz6w3cW5UtiE1pJCiLu2KCNLwmMbDyunMxdqgc1RZuyIe+ruEjo8JWGjx7a
MOL+iNGedw8dV9FqZFNNhu3kP4Wu+RIO+kPc6ZwH3jZmG43nBiA0cbF9nbA0VnV3p/T8vjeuVG6u
UZz1U/yu6dFCSSNdlB3igORzGNqdM5h3cVWHRHiqg/IbAuKk8+0XzxHv5lhSk4n8KyG2MPBZJFAd
xO1dbFAom3mPDtkdnt1+xKQS6rrfrUSgAzcwP1Cy/pK2EIqjfJZTSBo0/YjmkUAaQkg5smxGUhU4
dKo6NyN/7MU6LEdg8K5JJRnPrkNgdp4/hQjhlpQVxQcf53PnciPjTZsOLtlKp8pzSAsVkY/HcSr3
MOA1M2Ttt68QjuWzbKceL73oSE5rx++iBbmgm9U71anV/+qHMl2TGaJvhUjYHSYnQMjRAbB4Qq0R
5OpfTpFF956VO0ddhiJEJOfkO9+s0ucSR+maXif/AXiZb1Jro/ecaXiX4QEG+ETbvm7JWjyQwGNS
Kamn9AhapK6qLN4bMziFOlH/zY/0vjCiTJ8QbvouF2NLMGRi3EqntjaGG7YXjzrKg14k+VHX3PrG
vsd8zGCmFn1dNPcyT61Hj0+8pMSWuyWJhr1uNNWx7G0YbA3yy61D7rhJU6tgNLx9iM4EcovQDfCv
Sp4oSA3X3DUQz9Dqe42E0ZNZuMEBl1Vz8FELEQmtsXqp2ud7B2U6tdjHl4U5nkrPJLM8HPXkhi3M
fdZrHcS8LOCNgJk2oTOFF1tN5RtFEv4Z7Eg+sejw/nhNmH96idO9avTJD0g3o+Ri9614FH4SPfiW
Pt43g1+djQGwvbcTdalLPzqO9nOPmhUKr976U6seAki/J822x35RxKP5JtAWbpSsOMpAre7r3u1I
Kp7oK+PCfI9E7O7ysvOwrCn1mdDSeKVuvL0KgsIvWWckNMyS3I8sfXbmxdEiKr1ug2oWypS5fuFY
1Ain/YSiIDDpEbWTHLYqrLb5vGCjbYtJZg8R4qbZgDEESuTFgl5bKo6n90Rk5rlSnYWYxDWO6DHR
KiEsxjAXX0v1rqJumcQoqXoqgS+QztykVT72t4YnczTiVTPm27I0ilUnpy84XYDXoelItwh6qnud
J6+YLo5M35x4ZtryfUSShT11VKm2iMsddZRxsoabpanLpVpV98KVTb+aQJEHh/s6aHLfjwntCYb9
y8m4zMzkwyZJAe3QEu/wpiVphmzfgYvBFgr83vOdsxfa+rYI6hdllo9mYe9j3TtndreyjWkZJRaf
uNv2Kd6r+tkwWn9dac0r1tFoMYYxE2XuPPZ2/xRoxqUa0ZiBOC7iKKVgTttTcIcLMez3lSHtldDM
bJcXs3t6Mi+jh17EtLNlmRRrX0aA2kNDQgBDeRPHi860Nz2dtEWjmatq3XQviOgWbdkc/YgmNizv
YVZ8V0Xz9Ndgh/Vj3vo72IGRXMDoEL3lkLSF38r/J9AFnoyJSdBi62QvrPnxcVKduqgBBhgr43jQ
nUKeVRlO95xP0cMQO+LRIL71UgfSGRaNU/SvHlLUT/fnVUnnt2ac3x8xv0nR/E6l89sFiyCPxs8b
N7975RSmt8EqAFBKXs1ufke9+W0lpmY6ZPMbHPy8zCq0GnpgUu0QBrzr4/zWe/P7T+p4uM6p0aYx
tfG35MUigaK3ydsnQTquCqMm+x4gcgNPGCLJ55ShEWHYhwEnj95CVEp7sB5dMXIuGQ3zeRhF7U1P
yuaml01+JGcEkfVUt5dwYhvz55PODDCEkfyk83VxDor5RNTC0vhtzqdkPbbxPqog1CsZrSG1OEy7
+Vyl9xg5489hS6XNsBtTL3ovKuaMSh/9BztJ/XVkmekzDA4LA7gvAEo0OEc5DtG97ZfGV+Brap0T
TmRVNOAicuMSKLvU2A7zzdDMd0Qw3xblfG/QIzh+6/NdUs+3CnhO+WzMNw1BDlw6/GmW+5B2gjUU
Sv7lzbdTM99T2AyjvVLlXTnfYdF8myGef4oDhDoLb6JLHJDwiOTBr9FbGc3zUOf6qzd2Lbkn1Eq+
jMIF1Mo7c3wbqNXgrbEgq6sQACrl2Vx3Tl8Sb84AZ5JWtEA4fXabrDiT3hGT1GBG5wqAGgGU3FQs
bTtHi3wU8bUbfNi5oDgF+9vEcoPMdIOfwUWL0v78RPok86Wbo9bjnqYukoepiKJlU5bZtSwS58OT
pnnMEw6JrTN47KtwzkwKGHOLYUHWafpp6dV9b2U4+yrdFHITIbeuaraFZQddA+CVExKVoEBb6IIu
cQRFDxHb5m6gZrye+8Y7nebxeO4gn3h8R5wJXDZq7VNTniTyMZt7y7UhqVdoPXJUdrSaz4FEv1li
XjRPFyer8/11U9lPqFuZgDTTWutzQ3rfIhBB7pU9eIOj3XmxStdc9DTm6Gn86M49605L43rkOI+x
kTwiZYyOifTTXeEyZne5fggtg26dPlJwN6pn6Jkb3clcf4/x/+w8I/4e59b3TE4RUzFN8KYx3tVz
N/yQ848PPBjIt/pX0RnlocCSvSkcZeMgL82tHLN6ZfR+vmgme+tFJaGYxaAtsBaIDWAqsIpef8Bh
3TMXmgvdUXAfxvBUleqZdJTiNmgV65iXRVu763qPxOiUSCu3ilZZSpIPPWVQRZphbK3EqTYeKlGU
dX2z6U3etdID1wzQk1MtSu90qJr3oejd/WikMB5T8S6MjAlCYG3IXNzguW/hCoCG4LGKm4XMc7Ws
jVkcX2EvwIdClBzdJ8s2EUhDQj9ntKh01vmrIHCVoi0mJjrM6V7xgvK5DFr+hEe2VpKvnWXj94/8
OrEPLZFx7RJe99R4TnFEfx3szcrXZ04lPpWB+8sgqOgxNbWJp4ADRcvRE/fZd2I5jxgAiT8wYtwk
WoiMusRYWTp8d5kf/SJeSiwyukMWqWzyFVMB9pQx/hxH83XI3pD/nwir44mg7GAs3OtklCY9lsW3
00wPo1E6jMIdoeRZS+y75rkm5QZxeG5qs19ZCYcj1fIZ0ndKzUv8q2ggTf2J5NSG7dX4UqVurYVM
nlxSZuH//bWG5ZrNuEJ0ERrRXehax9EdULdavF+q5pKgRjBeAUifKfgz6c9zS0lJPAUGkalFu3AI
p9fEm5fM0Bo3kyLfeaEacsGWSdtP70Gc5nh/yM5xu0xbQuiaF7dNqg9KUq19qDn6MRr8ZJ+1dnMJ
Sre99mRuX9FYq8+A8+domNLdqXmi6ufZCn9Yd7bmeWv4mbzmGczUyP9E46dRjDpPZ5y49pM3j2z1
PLx1fOM/F++/xVD999zTn+2V/+v/jsTa/i7PH/nv5v8PGgtMzMIb+Rc01kcRV139TzTW337Z32gs
+w+4GS4bzyYN2EZH+ycmi3YclBAOCdFYumeO6z8dmuIPUkZhwzjZufm5+//OZFl/EGrMGKRbcxSp
hQjpP+2qf6OMcLr+z3V3/0Ih0drGj4Fn89m8DOIp/pFCErJBBIrDYZfUcb4b2agoJvYP4PIQ0W1I
aiRq48cU98iW3hKxDKNJPeVNi43KiF/q0JcnTXqwK0Guji5I1UPT25Qf5JKoOAOqZrCxDvIubrAj
hiAfdfBsm15+Ijtq39ToJWwEkkc6ax40ODWYcBV9CvgadpcEGVOfXRMvIfkwS3BzM8WN7LiyszdI
YX0szrysj/44eksVtMECMLY61YmtohVnoL4k05JbnMiGbVyl7k4rfFvsGMLUjTsveo2r6jdGrMJd
ha2FTUzFyXtssr4TCrhDr3tOCgcJf5SlxwGVyKqxbMohbCYW7sWV3c0Dp0AG0SACekjQMp987HNj
h0h6yGdbWswCOdWsLL2MWfei+BVOhApsTHJM5MXc0NEMEpGdxXZZz9CIzxand+Gmxle5bHhE0sXQ
5tWDPiS/BtHY6I0CIlOiEeTB0AdAwkZ/zw2F2Y2zpKfIChMPycnhrR8UufCDdus7N7vvM0fbZoMI
ilVF/fQ9ulePhSwcogwTpkEMulHP/05zILl7kbLKs2tFesHxh3c6MAkmaaWdY5jDBbWimsUx6aXB
ZLivpyw7Viprk00wmZQU2/QHBIywAWXekaf5x75kTWjNOqDLDAYu+g/2zmM5biXduu9y51AkMoEE
MLiT8o5k0YhGEwQlUvDe4+n/BZ7T0X06/tvRPe+pGKRYxUKab++99p5NoD+hBFQMtL250pveBpCC
i1j0Pl1TRAwgjloMCio1Puf42XqsFoRNV5ZT4XLqKeTAj2ZM3rV1SA2tMjwHtFh4jt0zPJ09Ury0
WLy2ja5vZqyc+Oa5jS+eRd+6CwF7mpuWbRoZJBXQxQgGIGH1d7alGvN+Sog2rb24oQ9DWE7qbAfL
BBLq1eYwPMSc8Aj0UNNdnfiEKSwvbhDMG3YBSVvFgE+0jLKzQytqgOpX1uW+1xVbYEy84tR+TWEG
s17GX4N3DxnjiH2XHhdgbyRIEQpFm216DI8ryj2DraVu4U+8po1zHeOlvyISct1E9SFsrZDZqrhJ
qfZZfEIPtEf89EvrEX/VdjKt6Tby1MHOqN8YuuoSB9TzJAXGJkivPZapBQZJtem6rQv+ZHIAwJRN
2TEQibpGkzI++ThvCnDiXi+usoXqQMXzvRCkq4phXGUsUTsvk+WGl/pbzfcZzdGNy/fAun3NDBnf
N0IciX5Gm6GuE6pTHWstm1hvisT4sKI0gXdv+CttNFdXT1zCJ844A4663naDA5PZdNWp8ClTfUgg
xYm5HytM+IvmqjUxC28in2ZmRbOeSGCSwCuMd8tCB6qcPe75kNxYMaywWS2OJZEvkNeNQz6kYhKM
UOmbeXEjolj/8KbgkV6TaBNxDdoPPnV9FMfvEotOclM57RoLkfNrtuZmW5vT1nTH5iJljPOfK1xI
Ndmxt51Hlr4b6r2ClaomiWse5CrGwClOUyQoqfeVV++z0u32lhYftMw3IGGmzyDx71Q4EOCb4U1Z
DYrJ3JufQ+smP7s5+P0Pu9P/xzEgv4os/vESzeRgQVtxEFLA07BQ/HW5z8uReGdkegcjgKoaZlBi
vDklfhGMpX0XcnSjvXDusBPbWIZvRDFGr2BriDWio+p+hX89ZJ0ET6dXuvAhEsqyW9xqST3xuYxc
CrzMhG6kxV75XNS5+YvENM+zWQ+gcZwydapVms0IJoxdgXWPaHSnxAy7cB+ihuEnMm0WC+zYZ2Ym
PeSrr9WEKTcrS/W1yiDppOcxG0Mmn+3kSAbiA1mSus7xHQmiU6Rh44c2NjhkY4J3jnXFkLQedMBM
mnO4bIMdQ+rukmJWHwjp7booWnIc/YVE9HC2MUIg/oVn5cfxNpYcu0mrhZRGBt5a5iRncGI+zJlJ
nojl7KJz395XFXWxHpO2NSElUgOjvyd6Ik/4bNtPkzsemYqg2FYKRMk2aSqQjE0C7wSfcOF1zKsi
pDF/5mnRIq75dAOdKdaAbuPkMZoaczhPONbWaTzYq5BavO3ogd4QlZFtPC9gqFx581X7mp4Lkd1G
RR2fp8C0ruR2CAa4fpC/sSiQWamceWdTFgiRDBwlf9AqviMJ5n4E2GfBT8b3dVrIkxYRtASGc+aN
sMwEXStyCAvVrYjXKZ1C0SVj7HAORwNx2M2MvdOHFhf03tibHNiv5AYpp3eC4JdfRTytpG+6H5PN
6oUoIu98e7lkwV2ByGD+tFLfPIixybaA8StMKll9TZfsUUR+O82gx5oVnWBDU+MkNPqzG0AM1mMN
+ZIcyLqRm6g2XbTl6VK29msYzOOWd+6FcClM6yTC8kiab0s4skfVN58yry1oHRkPNVl09jlo2aP6
CIQ5YBgxflFPk4doGea+DNuTAsCI8e+SSvPcZP6LH6gNgaojdrifkUmoufBuRd+T4uw6ezfO3UcW
juYtzJ3Pwgo8ypdKa2M6ot65o+EeAHS/k9VrTqFLa2Kjk/BjwiN46rXb3GeMmI7wD2bcHNghsyxx
933f/OKwaK9zW3301lIPm9V6DQONHlMzis4WWbuZKNU+m4R5m1feDQPYaa3wAm/z3Jg2yjGLHb0D
/rrqmpySxhqHUNlhCUaP9PhjJ7Q5bVu33HBK2BVl097MpVkDIZumvWOV6F+jfGTcPd6kphkBkpE0
bJsTDaSNqW/RcMx7ylIb6EDBFj9qdMT5n66DAeGVQiQcfNqz5cAVMbU+qb5kptKZ5W9uT+DFE13s
rG4uNllD5Exlcpm42MEmVkm8r4ZxyUQsU5rxa2Cjx0m+OF9jnH6Z6ER21CJIWIIpcRTHvwkqMADK
fGbDcRfAR7Xl2JR7o0aK3OIpyc7+skfXy26dfG3c5dcmrr82dEUqHnPP10bff23689cBYInmYnH5
OhhYX4cEvZwXwuXk8N/b1hde52kqP//3f94/MF9sogbX+q/2L9cmtiWmyuJfXrdwv7+3bdQE73X4
f3zzH5cuFycgiRBaWVy2OQih3J/+sA+64huWwuXexarFfWf5yt8uXdY3U0gGyx6z5SXJ8Xcsjulw
iXOX8gqLYCTbpvpPLl2c2dll/74LO5YmdkQrkCdpmIaQ88/0Uu4jNBrGPf2zVhHKHX7CGuJILNV6
8iCurFRJOmkLyy/Hyxz4NK46ziI1WyPn8MVDDsXV0/KSD1+SIzCFVeeD9cAnmD4m0WA82aYfHoOx
WHqm8vBcZ47gTmFjOyE56W0dVWL5yJvwo1fuHFIflrohBE7I8/5IQh3OJtZkH17vOTBzi92VowYN
M/50r8ciA4gyPwadws0Mvj7LOprYek47XVTX59D18vXostTv2OK7ZO2PAXgNJ50IWeZyoJixmFiG
unQWj74dpa9qHIPHQuLe14LbV+VOwQ1BbGKpk9HPP1lgbUQcy8Ez1dXvAzwLqgySox1Lsno19RFo
FSbQFmA4+XVsmvSunJN4mxu8O7kczwG2MVp+QworVC2x7KcBt074XvCCzJ9LIBu2Q9EhL1GJmVzw
oSU/B00gHkRQ6n0EhRF8p6VWLYNFHN+EnQ3JiUn2+aa1BYE+lVgroThD0JQhTzF/ACw7RMBbkg5n
+EDPU5QDQXXkCEtibvKRfTwXxXoeq5zUz5yojaIL/KbTQ/we5Vb2KaQvvD22oNIgNNqDMBPehEXG
M5sV4GqD7EI2w6/kxBGMa51juQ4MBUNHIh0zVRs8JOe8fAsbv6G/GsQlc7YxKiquFXSygWoIX7M0
w28Fjjs8qIb/x5xU3oNAG1z6dIO2Ivdv18hoBVVOGKCgeB64EXYfZZ0P4U7JYkQVN7y90zmTjUSv
JwbjHQwIR7nQQYhJNN9bS8krHn3r4uuueQrzsHiHDhfGTP3Yqc4tQzgAOdTn/KqQad8aLyzMDXIi
liQvrssfZsdZcDWbS5NYHOf1IzVX3tWCPOlv5nLwLnFSNNcsrMgCuXmIVdKjuPGeSeb43FjslCs/
E8YnwEjb3rimWb9aTpL91ADP9oCj+HohveGpyXPFELzN6LqtW+Z1hwH/JsVBRpifGeGtNE0mw95o
mQgH4TA8e3ooH+y2mI/KzJfnNqkOJGsNghWlZp4uTE9sULfHau0LmfwMeLiWb/UJmVp1mlYHEdFm
u7XY97k/RPqaAmnF6Wilo3gJuFq+Eg5R01ZUxbzAn/gDugQrir2aXHvlqopmn0YwW1g5FfeluQkh
Xvj600/l/DYE49bEI6GyQf0qeo8yR5HE9U/bGQHKYD8c30bGK7j5whFAdjM84eovLyGl5oeEcdUp
p7ORMvOg5ctOlG4rkBQvc+NYIRlLspGS+gxGNS0mHDEzjcafChsD1MAODgmphNH1D3ACUaCmmX2X
WgLGEXJFhoYZZQVhdZaO/+xJjrR5qxzMmGBP1obZNdAT2rqs1kOQVRs6VCnmsOZImGuwo1mxlX5i
ZWsZVtFn3JXh99kJw7NIzCTYVq3C2mhwl301eFAo4pAKrGlSVd1bpuKw5hFpufUn0cyjPWd2dYVO
lk07vHMcA7O5JLPMgH/VOjYLS9fp7raqkonsQl4UxzZrmtdGkJAk8PqR0NvIAapmne7TlIOwl4Tk
zTuDQ8zsEUZpZQxxU85coGkHf7H8oL4oPwzfzN6J01VuZ/O2kwYxcm+kcH0NgV5ww6lm5xe0hfQQ
ZNhdq8iCDJX3xYmtxGY0R6r3wzKCpSexRq3mzRuGm6jjqEMBdzDZm8aEWUIBfeeGa051MFp4ndo5
MJMK6QWNA1NtEuE1n5PVFNTxjs6KEC27jNVnhzqrq5Ovo5ykMgQeRiNAH+G9pkm7lyDXQnxFWBmt
SLe4KuYcxQtjdhCRINI2A79OYW1h/MKUjI9m9Xuk4OYkWqb6ZkMyF2FuZHHy0vwxN3jcoDxGGKKG
qnqLHCgspNBc974ta/k8OQUZaUR3eRHI7d/JTFevMJTdkxungWKY0IK/cctA3VG3nd9paK7fq8mh
ztdDeqnWDtYjtZtKk5F8E/U3k9PiFQWCFDyDbRM4mdEIfouKEqQzv2GoNrrHR4BWMrlvLeQaartS
2dzw3NrZwbekvVR02fqJtam+9JkX3w5+IXfKNWH4+xJ7wWjU6D2pERkhTfepuTOqIrrEk++8oP4P
q7QYs7sk9sQ6lRX+yqGIrnTw5OtwNs0rV8mCu2NYPXfMYL6Xnio3Jn7RUjjqqUUavia0IGy6JFaH
ys7EE+F445POdKyEMpB0xqpCHWMRI4WGcCCfMhE4V6eInopCGFe/mKjCQ2WhoTqMk6sR47MILCCh
62HKbSwYHuaBbSRy+k4AuC9VrE6MHcxP3XH5JKSqfMc169MP3QUYB52kWzdzMeCE9ZwjsSsgBekw
/0qpYt4Yc0W7Yt4V4V2h0+aSlVgKMUhEP/BQvmXMnfZj5417P8I86ugseve7yWLcNCQPLvbKvVHh
zMO9ku8qLKRcNFxp/FEUM3UhBmkJPKi+cews+5GGPaMi15SjuxVpYqY7Qp0LWKhkcWmYyx+7MGqf
qnkoDrlRh8xoRb1tm8nhmQviaJUwkMJFbCkKEs1ujdDXP9lsLfcYo5nvNQOJBhx7rt4WXEHfZzAR
N27DcGDLihAe+8IPbwPRy0dhdeXVxJFIzi+wnYsIepA3dkjnU2otAnij5D52R/eWLG3Q0se5uLo8
EaY3OgaJCiHGx12cJA+tY3q/6ypVDrsyR4l1EZbY580qaXHST7VRMpbv8vQajdQerGxCtuzfGYUR
ddNGmMtJ+b/IGZIoIl55TUqSjVRbOBWMwcZU77rn0IwrMgiftdWENWMQtzAYZtekRoKYcSbzSCYY
oYNVE4LINBw9GkqKQzvF+qU3eCJxYPQPdJFV+zbJzLtBhhL4EtW8yGYGywNQ4WCvs7R9I/Vf3NdT
YHgbGXT0NVSUmOsw4VmdGTBcnEmh4OpqALanjO6eAywz8crrw9fQbLGtpEPf0iqRhOpJxGP1gjRe
Xr2G2Nuo6/nW7TSOSbYta2TqD4ltVdcRuK4pcz4KyyJ5QvfBdGv0fn7yylzs69kb+3U9tMbWaRz9
a57d1ty4gArfW4RyBllZbmytqex/xpI04s5TYAUGMn+HuJuH+z7BefzHq6wsFPzSqnpi9s6TivEx
DvNARltQKbWqory8ugPN4WGVfbeT9AHHIsnINGguXhZaPLP0FsJpZmqSZzb5SaK87SZHjXVWvq+9
F67h7CB0RATJWlsQXFdLOOo51n518cBCP9Bvrx8Q/MsbLi/ppQmm9NVwfVo7NHTLXxjHw/2cGECQ
RxobbkdX9xix03b84UaTmE7FqPrpkHhmn5zCXJop2mgwHbA82r/8NECAzgXuoRzJEUx8CblqJWvX
Y8wQzAeTneuTwmv9GQR+3W37OJnjVTcLt95oegnpBepVJPey8KLvwHLkDsxj/DobxvwgvAzbAhl4
j70t7J9N0p0PziTTW/AT83WOVPupvjbf2o8XbPzMkHQI/IcpnJqfY+E2Nw4Ak6caApJZBYFmmkn1
YwhtBr6S5YZYEnwQ32TOsWz3s1R3kK+GjRgC3B5hNCEkNOliSBO5lSTENOIlZIhQvW6qAjmFqYP9
KgKzAu1VtYyeRFSTXxCi/GUZFa7uokYeh8N8H2VD9YIbCMW7sr1Dio71TIJiwj07jcGRtvCm3ZkD
AeZ1Bp4AL6A1G0camsRBOhG5VlBL5sqeFifdYr1Ci267SxSqrNwn2m2ZkpgErbgSQGGoB3koR1El
dKPhYDbtkHPo1Pe8pi4vy40qcRqtY9+eIZY7WBqQsJpTlsU+c0vSlOlG+mZxhYU1H7pULacb/Nx7
WzTxwbVzZuooI/IB94B1GEyd/3SLOfux3LJb/geVpZvOUsaj6Oruii26fqG1Zjompso4qrLhr23l
z+vSbGy+0guOGIYsqC6fykvhBWm4gi9T+OsiLeL3rEjr8IC4ENyR+uAlJEkJWi6BKnLfednvmpSp
4nHBWF2n8dVYKLIUR3fFup5t+xwwZ4NCMxkCKwMEoFHGlEu7s7TWIGV0grOk50CCS5nUV2S7cqNn
RHOQVbo8NC0Z8t7OI4OraYg7L5VRZh/qtuFPwzFeZB6gOHuoTy070nuU6FGv88hv/NWIAtyschiK
Fu7v1meoaMOxnoc2piCr0UwZaywo3NkSvaWSIDw3Eth/jcHxI3NNjXNgpFKeY2RWbp0urN11qpPo
6CWcy8YgKW6CGjs1NhHfw/HliO+ZvdwpWtdOaehhF1+D9K/vrM5Ulwza44F0RX7oIUod824KK6Ca
2YjMqqXYgxYojgYU2h9t7UbVetZzeoMOWsmjIi0VvDjdiCmqdwZCuv8dZv1bwyxqxLEOQJ//F9aB
zwDE8/tEKPnz62ceP/73f5hI/fmNf5oH5DeHOYnSMJwlMfLFE/nnHMv75jK9QsnxqFX64yt/m2Pp
b8wKGCt5ADEAVHj4Cv4Wg7W/Ua5lM3jCdIDq7zn/yRyLTeevcyxX0P5LRFrgXrD4YdY/qUmdH/KR
zBx9qL3aCg6y4iHhajqP9cr0ovBjTNL01GrgHEdb6e7RMic32OrBjOcdoEn1vYpjiLet1miROgGm
lUUGMpE9cM/eZ0aovi+y740/DIIriQHFQNm5VmuHwitCZZYVeweccy6NZpNblRdhFNBX2L7Xth0w
8XV9AuWN7aBf0ROzKHmm8cT5vzq7ndO9UkDF+hi7LKOcHNdV7j4IRBHsZuJ2mlCxoJwyBkmavv5V
QQYEyKEaIAu82OAi4sZroVGZ88UO0aw3g4X5Fr44vRhzmh2criaWIiN58G133AT2rAj5TLghLMyR
zOVHoMTppO+HUHlPbuG5e8Z5A+771FvHU9avFH7traIIjb2ImZoMNX4IS5bPPQflDo/2WDqrqike
TM8oXcJ+0ZRtC84HAn3Sj0gY5EN/zxoIcyzIESMuVdSSdPDdnrzUOKRIqV5OhJRbo78QDw3FwBFX
MsJ9YE6sB2kPEfN+NqG33tUBQ5V70xLYo2k98utDEhu1fwxL15yPnWDYdfL7wQP0E/tmv+X+bM87
1Nv0tefCY9+7Wc3l0ZxdFzdHCGx+TdgsmVZqbvpu5+um3zutCD9EUQaczcvM2+d1Zz7b/kCiKRBB
sBSV/faItXTGUF1l7spLUU+MMpUwDsbo9q8AlkbsfP6VngwUympoEa3GzLtR9bDJpiq6N6NE7LRI
s1VB4RhZNyZ4+8bKmw+V9c6hwOgV7SNCHeYmLUS1AUrqPtlODJyTSylCdRa17mNqGtNloNeGK2VE
jrNp08c2mehcVJg/wByhWQeqOAkHowg9i8FWRO6pq6eFo2POTz6MuF1fFfZpmfKswtjYA8EjEOh2
awZazeNkxYBfTN3cGbgWOHwyD4HDQFALauxE0KTgbI4nkH/fF8aQMvuVaGKxQrZhsHepK1S7BVIV
PfFp7c6Y4eDaCVlMw2oC3X+cgmQome11G1DdOO3KoDsG/ZDceYh4by1/WwwJhU/uCdQcqZRpGLkH
zsYAz6RewFYZgcIoyu6rqdgT62FG5JEwBQUSfdjSGLa165SPWRc0eyfsYt73eNrrOKjeHK/leobK
fFO20ycjYk7o5SQz3IV+e0iMON5pKhSSVwAn+nEo8EeuzTBxfpRTi7dPZNo6Lkiz3TiO3SaSpdpq
Q3Zbu6+6najqiiiPM5AUtAGhmATi05Ht3SJmeEg94yRAdbDCZOMNKPzu1RcNObkmSK+Bp6pTU8Y5
xo7QIyNU4eUder/9g1j1X0fdv6nx/Mt98RQSVgzfl5Kpf9gX/1SH+M4/BR7nm4dXjckCogy731Kw
9+fGqL7R2sXKjz3uD27E37ZF+5t08TzASePO75Am+Pu2CB3CkRDUiGfgXtb0iP6Th+5feeqcrx64
v8g7nnKVdKmX5HcktfBPJS0iE7htjGnew7mZa+RLUeRsiMRWyEvYHQks29cvXNVEumlq6nmhTCdu
D6GoDswNkw1rufJV/eMgWE5Xjt3auzY1sht37JaLRNg+FAxtOIEW7EgMErnmTzBcQvCGZ36hjJwn
g5nBQ08gh+AO40UXoj5j8M+jO5tpobfyNHCsTQpSF3XIcRpJN0mRPlh5a0/MRidINWCjFD6DSuTe
nkIGDIHARJkKM/7hZgcb2T0IL7fJpvZ+/NB3NrgJOjQTwI/5K0UxI/2hoGs+eHG0jLgIv9wtVffk
NBr7E9Uxqb/Y5Pz9YJcOGd9BM1MeIG/vbEv3yFWqcopdNA+U9zSjH91GLY43XHT40DaBU87iJBN/
yVJQSEVdopv4zoEEkBLUJ8d5vvVrK4KBrgc9rqEVGz/QeDyPdX+KLoXP/aPKuujSSJRE2O2FE51H
qlPnDS07Lf1gysGlsjTCMCLtfRdKQtG9pTIZgCl0bfEpYTf+RpYyjLXRluWFbP50Mw7Q8leQVKFk
dBCQwMGWY3IwDTlAijf6e1bo7JfKKMFcJ3EYpNsJLPxrA/ARSy92kmJvYRe7GtL2yaBbpGlW7I9z
sKYVM30qKA6gTxGXGO1wsy4L7rCu+VtDckBwJwfzNjvUnO06o/KAeDgzzkeaMNUarRqgAgBlUhad
jynPxPy4M0sUH1k3yyTcKK9hX9cH1RbkBWJX3FZsbcYqnuNs2KS27W4TOyvfRdOOGB5i1a25Q8s1
PMXkZLC1b8kmlEyzKWNuIheP2Tzl0761qmJX2Oa0I589ot37040Ics5tdtI8j2URwWaMS7qzZrBP
LgCX18xv50ezGMdrHqAlWC3TmsT0hrvYdIH1JzaGtbJKbjoTM0THz9o79OUs/HZMNQ3gEkwvYtEp
aPGea4lTMJpvjI4Se6Qs/0RaqjjILKQqRIHbskWYPdcmg/bCVd8hXSDeaEI2Swa+6s+95DGArEkC
DQtT8uABezgSpCrXA8VqeMai5sxhSGxIn07fyyAHiN5140m1dH6HztyvK6E5SmnyQmRULN7/RPpQ
O2xzvleS0uUpJ4bHZ13tIR455SYs7Py3O1jtfeeXkuC0bT7C7ZqfF9/HgWjARGNsXDkcEMcyf04Z
27zgYymfk6LtfnOdjJ8d0z4SHukOVsLPjoUfDeuGdNOVbbZ6q2TW3OeZZb4Png86upKO9ygJva7z
EIPhOs46CJMeawpZ0liBd1LTTJ5Ay/dhjqltIWpmfYdxQgqxJ53BCCb7ScmRc+fWBDVoLmi2YWb7
WPk41D0o10EMKiO4w1z4P5zG96ZVUQlJbsywp7vYyRngkloqf8uoMp+XD8KTmp35dwhYody4g0i/
Qzdz7qdsXCba8FhHUtfUCNrmwOvkdrtJpWu+KXB4xr4DNG1vvDT1b5VyutPEGvHgwx/+zMJkLFYa
DtdLAkcM6htL80FpeNAQuHz1m5QIA6yGgwAn+UTqJ87dSIq0RVD5ktrBQ50F+bvGNvQpe8YtZDrK
9Coi2vDWpUezDDak8WKDl2a4PkfzbixbsBKCNlcr8kdkM0H7jOYzUNcT13RLMlUhHF6fZmFX5aZO
aw0axuzmQ4rMV23zKeyuII2osS4SHpJS2/Ag3FY2D4FMq31UjGGx6qOueSS5s+DQgcqL2NNnpVP/
IUgt682v8+REYZX/wxhIjJXZiBu049BDpCu+92qdZOSyk2iFzAys3FecBJOxho7LIVceTXThi07c
9iatcDCvTNihd4k9erdcM4VkfTA63oiUTq5BN8FwkFiGH5lVpU9hHwC/iDkM9n3gnE03FPeKxu5T
ZHkaQ1WfnaKkyxh7EiLcJsno3WX5NB36YrQJldc0RQ4dWb9VKobIYGbfatx9URXZa/T56oZHQX7X
YVPcB1UcnGXb07KHVvo+Qm98Z3oP7oHxOqkgpeoPs6VbgyGcfOrpRdzOVk4tRhW6l6Cuy18Q/YZ3
uL8zSB9lt+46MZIKNasf6oOeyFavIgBBFR0Ev8nw1MlqOW0cGHUzxKwULitpN/aRtF5xiYdE7cCs
8o5OirCrM9jFrsVMdQzDPrk3HAp51rVws3JHQIr91gW/eOshKyeryrQXhMbQD++GSrEdh5n0iW9N
mGx7O+vuzKQLOf5T7ILXOXPyGz+itC/voum+zqaYnb1u6vu8cDJANIXXIAvEOG+Thq2OyWrF5tXr
5LZpxmDnhFlxCu0mBeenYvnhoCDQcwQUXax9paKzZ0+Dt5OyF9+1k0bP7NnYMOuoxNjleEX/I7cN
+5zSOr33mDiA3MSZZuIIXmJtcQDsR3bGOY38WRyjvsmfCF0qbL5kwM5zZQjrHOaTeilKARkB9eEY
0eFXruwmL049zvhzWzjyYRSuPFkeLXJ+Iwj6uQF1bcU8XOe84Q3xWHSXSp/2xQYB+Tt0+/lFDLXe
p3gYjs3sMjSbQQV61DhdnJr04mrSjV4c6SGMukFxHLIDi9gThgOodiT8blO/Sl4Kz9Q3HNgqa+9X
1FJx1/bSizd17ps34/YYI/0K+6/cTzoZARRbfJwDGvW8urSeDAxsxxABBOe4KhsLx3XjfI91C7Ok
TL1oH6IHvOWBGOi1ZdlfxbIuCdGaBCzbGQoSYdyR5EQannRUwF6m7BmwX6X3vk/PHNboCuIol0SA
fv2PSWIPXUWJpdeIRsmbOy1uWOa17qH2CQ4rZDO5qUzRf/p2Q7wRNFPNwWgryogclWqWpIt7wDyf
rLo2sc9m6z5Zk1/vB6/Hc9GXLzUXz31v1dyond5lxYp7W+xHo8FlXaRB+hjxMXmpRjGuwJ/NB1ww
fbY1lRk9yNnrxxPaOLCOoivbYIvEYb16TTv9hKEDSXFiVW9xeHus6nHmNx2GhtIPiZtw0BFB6iCT
oxoSmezshmW7TN+iSg+8iR56xiTZPvf+ImnOIZUp8ZfOSYERxk96oK8aFTRd5NBgEUajL40Uy7w6
dhYdfeaXhloucmq5CKvcfdUhXsTWuAjqXQAFf50CTHwarKO/3E5nyydA3tg3TSbEJRODtYWpyETF
E5hf8jA7ZhQqrAkJBNfGbcuNoc1bJwNoyYzLh7wmhnt/0YaTRSVOvgTj1mSPXQ1fQrJTDc6mX9Tl
btGZ6a+qL0GVAXs3mkWNznDn3NQzh0WYLLZ+tr+U6/lLxZZTbpDG5YCIjlxrd6MWybtirWMHm+yH
0hlkvFlcyYAQqjztV77helQaLQI6vlHvdsC3cQ2+9HUcBWTYe6oJTu4iwDfaJA3POOkCXwN93sp7
/dzowr5nsYNplUGhfeMBFjs1DUCIsy+Vf9H7nUX5LxMbPwa/p9wAIHdPEqX8t6d7kjUhXcrMWjhv
HvMhw1GQfrkLLKdtCCIupgP15T/I0lLlrJqTaWy6BirGKmC2xFRbIKet2yCgrKFrgEMBD7QlMoFl
vAMPah7zwJ/VuuXMvimZu9/NTtq9FY4GGl4Bm7/pXIeYtUtzTwNGA1HE6ikha3T61iQjN7QQTSKj
FygUEN2rKrU3dkjz+YrMrI9tpB8ZWwo4LOowlibMgoKP8sHvpffiEwYECeX4xE4TBC6FHYuhHYVg
lsHYM58ERofZfGkawwr2rRbu2ZsGwjuxDKLvhUGFGb7gmo5iKy6s3w3jnGJfVlk97XzRYsoWjhu0
mxQbT3jXKosrR5pCUFi5oTmz6RHjZq+aHnhmAEIQxiUWFM6cNVj9z21IQ0+X5efRVdYLy5L9oAu2
gyj2vXPeT+3jCHw24TQ1vwxz4NBQE0Zjw/Ibt+s6FFS4siTBbfivcvBvKQfaZHJgLyDH/1s6ePpM
3/PgPf+rdPD37/xzRGJ+U1Jq4qaan0feAxPqHyMSx/lGqJBpPcE/gYgg/x48NL1v7GnMSGzLXgYY
7t+HJKZN8BDn7BI8YILMlOQ/GZLwE/+qHfBb2cqky94xLdomSUD+NYkSJVycqC4Ldo1oHzRxrUPW
jtwmGS7sPCMbPmOXEYehPe+ApxCC+5iSow61OuiZEYEHnkJse23RG5Cag33f6IHZyOznRxJN2YrM
3njr+IG+UW5AYtb3OIKhi3/U0i92MyNBaoI4nf9sIiaAN/FiF17Vy46OGBM+txAsbiro5jUVrm3k
r2oue2dnnN0j7gTcCGNge+khjgW2pwBDatdZXEvsfPjFULje/j/qzmy5dSTdzq/SD3BQkZgygUuT
BCdREkXNukFI2luYgcQ8PL0/Vh8fd3W0j+NEOBz2RVdUd3VpU8SQ/7DWt2aUs142Dm8SNcnarbRF
vpYpE7KRZ+XseTEnKFsWnRFD7hD4R6Qrigq09uuSY21ZWfkEuQDqmVGuSz9CNzQ5TrUmZ1eXm9jw
3ds+9JJyNzGDekbvgv5AwM0Ew5h0B+2n4ZPoEpYbliDLZ8VRCSYcZSeiJmMihAsxYnLf5fnw0pRu
kgVZk4gbMhEwB4zznTmbwz4x2/G7EghsqEMZZrR529532WTEG/iDgFNy030JxWifOts2npjPimt4
PHROllIDIY/D+DBgOwkaO4p+eTOTpnUEP5MPjjBLZ3z2njGyW3nNvuqt6iTyBDwAl7n8kr12D20s
nIbWRlh8SM9XKGzjikj31Ly3Cuj3YNrmecMYh2rQM4BJRq5MdpbEa7OazebgxKG3oYg8VmjLcBxY
rLaxO176KTFWYxoNJsimpTwVRJqh6UPY8RnFdXoc8YTfckP1KeY0TxuIWMBzU4IoPEb+ZpjaCgWd
OXCG0Y4ro0heNFK6zTIZcEMQOFwMQxVrlKT1PTgjxvMYWJgQjfY9IkER5F4a7VnnihuuKFZ7o63J
4c7ER70syzF2oApVNEm3c8qN2lSj+uqyctoKm0jgrEKsW5QkXtUjEnDg+8AV4zOdEwM1ys5nRGDw
gXrP+UzMfr5JRAP4HOTEViLiYKDVvqJfeC+QP6xMNVE51cMLKIA+WpUIbZ0Au3LyWAAQa6b0rKmn
+pgVhd5GCoRnVnKC9JPH3qHXPYBGpl6sFCzijHUbJU88B+q2NQt5wQYry73oJnIIY1ChrRKUk11a
ZRsiQW1vx/8JmIyebPIskiafHy1EQfuMe+pO8PUhIGWvzrHlJwcwCIiTi0o6L6zqnDvywGz8/PWV
1lqQoxYqEHSESOltMyKvAOEatl/sd3CE9r3nP6mSCM6UeE8uv0Qwi81SzmfcRfBKWFhuWO0Ic2Ut
XnTWUx1BIOii5DJ53syIZ4aEYVOivOsk1XdJ4ozHWZTuHcsdMIKjPSz8JEyP+dCbF/9q3/eWmjSq
ULvDk+dP1nNfqHEPtX7+8vOkIFnEqpo9anLni/s7+YnlYNvA5mA0rsrZij9N3HI5TjdvYAgcK3Wf
OojEZ1FYLha1wiadrErr3RjVRLcyZIl3us/Keyxv9tNQELQQNq71mBWtfWqM2uJDFqU8xwl4tY0l
azMQVPDOrsdkfL+MqfkwNBFpFSP0sS7WxXfKLcxVDW3rpa3a7oQz2w5CcyFN1ZYJgKfcuyvLYolX
7KFozZUdihsZanPv12N045pDClI/y1p+KaZ+qwYcxpPhSsLVlMyNgOdX3amsKx68JhIXx5qYA2li
PWIQNqMiRLQQ9rrXc/M90uShwxDtWgmdsnZ1a2Zr3jEFFsgzn1Z1t0LJ1RAbVWWw6se6DTBexkdb
5DHj7/IOK12HMA5lNVKrKwnD78z95JnFg0yJgHV5cAP8csmu4S8rc1zKx3awEUCSkUkSkn8PXSa6
JSgLJZXtJ7foj7KtaVXLsW664SaShbVXeAC+soV55DBg907LsNsx/VI3hMZxDdHFn0KfzJW8TxEX
qra8YcSRLuvK7cdAFcWX2eYV0DOD0atTgmRFvyG9/jWVdJY8+vHBREYS11a8Ietk+OVUSJ9b0lhl
a8zrODeT9VCBq83ZXiUGiaBu7zoH3Pn3dKQKcpw0Hkw87vsZVwcUivAIa9mVq0pOImCtML8h22ZK
QRpp82CFLFbI0DB00DjWZinzp6VQ07ZwB2+LCPEtJ+b4kGv0crJJvlJjGPOj5ViKaZLfE5QZXSOa
RL9M2y50hosJY+wWzykwlEx3dw1oG+W5H/2k92TOYkNuaTjbqe3XBSHAd15lnUgbWkiWjOHnrGRD
10/6U4U2lPThG+JvWR63epnh7blhTuy44G97AvR2uPaODQD9dB0SHDpvlhiL0Mb0OpKjkmrU+6HJ
P4s5L44yl/27nevWX4fxnNymczfs8A4gCCptMv3qjk53qUcPUK5DX6CGqb8pGF8XW5yJbMtnJsJL
b9i/iQQcwAGRow7zTncxxYwR5Ws99sk1ObjlHEistproUHHbMEJM5XeJG/5eyW68T7KYiV6JzViN
HGK+389074CrK++eX4uhITEj6ZPdCijWBL9jEzbZdbyEYfzL53Z/X1y5oey5dWNoallbXxVVYX1J
JB01HJfCZglKuV/a+D7YSVkPLGeXd4P0jCBiZH5kF0FzQBEPSWbssAz6zchQLXO/WjYrHxF/8Coy
4cZ4vo3LvjAUSxndPFcKuVEkc/CHqj3KpujPOg2jl+t+YFegf/yxhcrfxsHRW8bnQAy9HL3oPu+i
Zj+WvoveCGe8xy8PBQ/hZnnmDBh30LOGO88FtG1RkL3AQMmOU2tMx9qCqWbXNYbywu04kJRLAE0J
h43hASZsZpgr1++Wb4t1/p52qN3Y7hJuEWsM0KxNIg1jd0fU7TOjGloWl1BKd6zXmnW51bobJWjf
vKlk4OcVfdCPzW+b1S/VCbdiNsnAEoAgeBFvim6E/CCNDRnZD4Zd28eqYi6Q6dndJ2CzP/Hm6nVL
0PPabYsmCbxSbDXBnZwwFobhBoU7IWPXBJF63Ba6DW9xcTG6mUMAYASh0/j/mV9s3UVDf2NZ8w9E
MEaYA8fUtGYz5v7qgfY6i4sKAMnOcOdjNdqW0XVatkTxzliq1XWnzdKiMYenLmy659mBVjcl07Ad
TZY3EV4I5beEjMYy3YQDzLl2jOwgg3ZH56v9LbPGKV7b9vTOvzScElInvgCgk9CHwnzrwFA4CZ3Z
r3zfV4yE7MtsrXVCQkMMX9iN0GOUiRPDk1TqQQ+c5WGvwd/UpKBZrsrvwBeFD8IkbrUQZXYaYjKA
VsQ5uGeeUH9aaR03J/qQ4oGEcPf3IlDLOF1Y3pNIYd65vSVRU+Tub59Mo1vZ+7Dnxjh5tPF6Y+CW
zog3u0zeDbPobnlt5od6ycZNW6vvqB/8vSrTfBM5aX/XEVHz7jgd0Cl2huxpOeipi+xU3+q5Lqj8
Ezs5VEXUthiv9czboyPme5lK6NBVv/cbJQ+Gq+YLbvF2YWHYH6tEhZuSQLWjPWGDH+22vJ/gjVRS
hWcR6uwdfHO9txU8RfI/d3ZDDT5HaU1sjDSDokGSM8cmMdsKuOFKh1GgqZsCwuPtTe/LBLdK5r5i
EkPSnnjIjHpeeNSP1VtMMuE1IyU7mhHYDLdpnZNndgiFlgilxapNoviB1QGGk14Cz9LL9B2y6FnL
hHMv9Cz+5Lkdtq3iHJ9AUNxUCrpkN0SvnhFSZYKU2/QURE0TwXDOoFR1+mAW+ec04DbkREUlYlPy
boTbt6tMGBuB9pONIDnynh6/E1JDyPjQxTFtCMsb8PgfbPRvRzX1eUAuqNhMRRbuR0hivriuPOo8
Paj81zgIvHgkOB3Sih9FCStWYsyb79mI55t8kCAVrlgJ8q4rA+PRSLJTRddXLiNfnzM694brzbsl
zprz2DOdimWlv7Cp1HfQ6YZDaqGth/6iVrQ+lBO1b+w7NXdQ+8iImaJkfgxDorNboFOfrCMXfhVN
8Eu5xN80YxYursbcoBMCn+539TMi5/GC5JPRbl3a5nupKuOjUH6/hQWj9+6EZwxgYq59fIAFTU/n
mecGzAzgdTaoXgYnbvD9bOvpGa8CdhG50MkNyVq3XC8XgMfbXE4jd9Yo0QBBhyvD/tbGfSKxxyvC
v9hTYyoZEu/Hp+AfOv80lQTnhLpbT0PJoDqx8ECM4phJcrBwIP2ux2k/RsjRrv4haQ7JOeFIxCJf
zvvWU9F2dhpolnbVHTJ+S2KnquETYkUT+CqUL7if/FM1V+G3Qc10tcSXUGIb199xeZzAR2F1ay+5
PmFhLd6J2OmpjVz3UAlK2t42kCv7ACoDEzGu2PuLi5KwNI3pVJclr3hIAv7Ogv7JgqTCywCZ3duG
Tep9444EfRC2LFPmPFQfvjQkWVzCy140JVKg/dm/68YlfyPxKNnNfwbaWfb0KRnXcnZkwOTz/jqK
g5fwEBkGUAp3mR6Mth3bFdjbYY3e0grCTC2HhUnFxS/85jOaw2SHJFu/ASwmMWAhD1DNThHIbGxu
WdOJnmWHlkGPdAHhdV09dC5LLCqWofktlmh4Mko5qhXQpBY9UiWDsSc9eJXNlveet3a9Q5rxk2Ql
SKY4DpFhzYl99qIr2z+3kxdeHMzhRNvHG224PQR6Moab0EJpP8/FW+9mVK7MOs8ljztk9ry6CxuS
n0keZ+cKJ3HeVDETV3g7VnvOVKfvKa5TvbKjat43qcWrpuYQvUSY530Aom4O06Xwdpm5NI+ppobF
xsUCkWRYZ+PTxZysyIzWdQ4BVCLHBE2j1Hpus+jFSb1kxwLe9mCODOlhLKXFqmdcjgXl2RHr2/hG
wCY8J6rQh2tw0VYvqf1SYJs9+oOZfkWq5ywKx+XOXVwNoUiL6NQ4qXlbtsSTxiaaPzfN3YPQA0bN
hZxGrDOpdD8HxwBT6me2+IRYl9UMD5bplR2aYtaS+i2DByACdRD5VQ9BtjUDu/LoduvQWEiOyrBX
lDTO8RSivlTEKy/aoTHwOsDynlXdIznyWJFlikE5TjGzH9wNwvcCxvlMiZVewT8rlSbDm6k6Mk9E
Gt+H2Ll3TWsuwPPGTL4vZmhQNLD66dCA3hiZS9WZpIoAit6pA1WH6TltSVM1Zu9Tj0xArrLBhaHV
Vsz04Pwe5tqqkfkzY5ahx9s1G42svZoE7Xuz4CrBiTU35FoWz3Yu6mPFVnAIyqWTX9gm483ETici
tVMC31dGDe3JNnUogOmXa35ryltot49JmOa3iePyYa0Jpe3k2Mn/5fnv/4OxSMpBeGRJ4Vt4FhiK
ID34z4a8p89fn9lfKAf/8gf8+6xXMOtF7M36BXUbU9r/gMwp6w/GrEJKkF/8zT+Mem31h4D/4wrb
QQj+d/zcv8vEbQsNnUJeRznhY/Rx/ksycerzv4x68cI7ylGC//x1xOvkHckeWRfv81EVW1SmoHNS
rEz+2tO8U9A3l8uNMkqPV3/THkXnqiPyZZayg+zwV+qFnWDpzW6xYSzYvLhGSM69780vWPt8BzeG
VzL1yQroUuS8+5dCp+2DyoQzrVVaeFeG1oIfaKVpaJu1HswwaG0RVvhgayv6gkRjaPx7lXPbMpQ/
4lgfP4dwLr+oYl1oT06qmd6VTbFaXIighLO28C/HWcoPNLjoiezKn+bdjB5LMLLNh/rQVgZPMQJS
h4wEGDT1kfiz5AGlthut06Wp0RL3xSPrpgnPcw/vbJob+W7NWXGeJnM2OJktTpsmhXK0ZasbA+d0
Y/Fep1SKrJIxwaz9rFOXqUxA1LqpPXynLj2SnxYk0oIdu7CTLwHmJtaj5ab9K0A394yYvrioIpN4
2B1/z9Z62Q1iQiTHQRmeBmSMEJlQnNgMaRkUjYa3HVCw96vI6uNvH4ldvDfyFhRvbsmB8MNsXG60
Ie2fkQbiEZL78ptoOWTrYaTrd3hNzj0NbWoGcZvS0hSkUT8r55qY3fdFd45BjN7NaTqNzHD04iIr
nIddlicRGIVoGJ/RXRovNTYCZIOjEs9eb8YzukUCVILEyAXUsNj6Ss2xxtDn1WvT6khzmkQEDqCU
15OHM1kFhWaTxS6+OwH1ASlc2025V2hl2oMDpRjWnVl2H4WTGaRmsDv8HRXh9OQO1cjJRsdhQqA1
vLUKe5DFuoFSi4oyzzed71i7rE5b/x4TGTHmWCMBO7CPBsw2G3nFtGghPHiF6rxygpS8aXuL/Ev9
LpEaYRzKazdcozbWSyBrC3iv4RdpRW8K9WBx8vhNXKGxeGMn7NjuBNqOpwZGGiSCYmT4qvoOm1cz
9euEVA++v6Hnc0KxKqdNgpns4ppxTYwrJ8Yb08Dwh8ZGzccmt4g7CmW3hy3cm9+axGHWJeiOhp1d
hDSP/FldtUUoERM+DvXo1PtxSQOHzOOARqX97mU8BUZDNvFGJAX/vbVa42QaCXznoe/9D6dalvTM
blFi0phC95COc/FMZLXzi0TM5B2PU+itGiylelMmEAlMUbnbVBiZA5ygHA86Vsia4lQqrMcGgt2N
Vda5txYV1kuq4qjfzj5txSpeZu+3PzTS2mStjwFf5W66IlZWPRCr2B5glrVYxIp+ejRyv/3yG7d9
TdNY3MHPB4SFMw/yUDxJZhGNPzxcd8WvY+O6q8Ydq5tlMevtkCuBj8tLYdQnQzgE1Dq0gCA04CAw
vuG7KCpW1hye+nUu2uymNDM3DmQqCSxLSdzG4hJBPzBDG6wldyVecDFWOPbY3NMBKcksrxq+IbFR
tZhpj2uxmxcEV1i+LxizY2ZvYaVD8krmaVeTmrMzdS4OSmfocS0u43vjZ8uvzmgjZhWdQGIJL/q2
J4Ls1kdoGa+sylGXsdDJ4zAYeMnol8yDGOWyd9qwuSTeONy3kQXKwRpLYxNVffl29RgEwwLsowU6
+dQRSp+smdgvWyK2cpStvk4CvL6ofRbHSz/KZKzu07xxg7ZGU5P603Tow2b5dS1pvfUcw/YA5UdF
iAZp5tr3mY6BOo6RftcVXbEyI2s8+mwIKsoK1ax4h3fPXB02FQKc2T08C3DT6Hrmo+FOVOYjRmzU
ycyCN2FiAJsRrY2tIczT6ivHc/TUObS5uDZ7IN6MSNIPs3L0m1uPjCnrurkSU3oHfbUjF4sk0CzF
ldypZmGTpIV+aVMAbBfLg3vAJbF56UTCqTe2UQrrJk5nMW5wHZgLSQ+dMa2kngdEO/loO+RpzC10
glo3t0gBQ0RopT9nG5Lq/LumVvnXFEfxT2w01Ua3gu0JOlzanxx98ErlgL9SCj5IAlGlAhImWLVE
oLQYmzK53xgVoSLOUE/xyoavd+zHAbyBO+QFiLeqq5h8W3SRZtQiwvTC6Tzq2l42Bujs3VDE4mB2
OD/gC+fOmqwpd9rWtp2e7IZZ+dqqOnsvYHXsBvIh+gnAZEyApV41CJFPc0oeal8UJXTz2oEXW8si
Baqfldjv7ZtxosFfpTn0QjLQhvpBM/N+tXNvPALfYLQfzZ17VVciIV5Vo0hgr6rqyGPjVq8FFhp4
H127V9LbdW2OsmBG1Jx7IGg6WVA/ZLUP7br082NsXxNUzLRhuJ60oSsgWbDPu077d42J7HR6sMzK
X3kC32XOacBBDQggZ+B6A1d+Ws8FcTM4f7oLjfPw43D47Oyos49sfD5VMxKxBzZjv6AQ21td2z7b
k2vvGY8qHt0clQQdOyFWiU+OBOF+/rk3TZvssrGH+qo8fSQZnlZwTnoyXtigrGy02M1mTNLptNh1
dyqjSgANDLPb3OVFfk12AwxhTvRea8czDdRp0gyzdTwY5q5NZz8ld6XODkuC6ctKnfw4caudPK9D
Tucnzk0f914NrKFv3wCY+9j4S+9bMlosV7J06nunyL0LEcvo5LuuNJFRh2zZJsP65XPDkChrlg91
ylyizpfECRAaOXvhdvpZlCIhuYDLX5EJ8YaQFvfRaGVLu0pkJFgmpuquhOHybSbsQwLmytVaNp3G
deq766WrITAAbfieIlOfZSen27JJwfaOWQrR220VDZcijdoFiwPxW9sdNZelPghGTOd1dc3zlk7C
QhjnTvQ7jOv4vggN+wQEhiF7XvAUrkbWEhygOIreB2dWgRpq79FwbGbMtQijd0VcDAPtZJg+DEmU
cNYDVqc3S6cXVuZyF3takVIn7aM/jdkPn7c5A+pkc7f0DHAXPbeUZ6wrGV83Xgd3eARznLaji6Iq
gh66ku48P3hR421BIo0viyPlVtVl8elbklIDJ8TI8r0Nx27FWLZsaNfsaMelGk9mFHW8HZKweUga
GxpuhSMyXXVLzpsK1lKXBxptd3JUqdFXu75Dz38AQCcIwfZhdm1zMzbvWq2dV0uNgMmtVmTzNhmK
66K78SKb4Vbj3SSscgsSVqa22+DWa+K1twikUT2dI/uQeWzexy5p0k3DbqVaJ0se3rJQgJjK4CI+
cIf47K7Q+LItVxxqo+uZjLkU33/roadbgXTo0S0W+YvjxPWF8V2brRr6oUs6O+zPzQG9ryXUTdK6
3r059eJ3wtwgX3EXlFbAuXvdKlrkx6wymulH/N4JYJKZkmA1Nm1cBlGyMDg1DVqYM/7TAXvc4Dp7
lVsVq/nMYbGQQ4XHiMhRMdxaCVJCZnBFFK0nv1I7ibjxkueWrjeLP3rLqvJz5yctkFVsSgyPz75r
zMBODPHL8/K+Rx3NYAcoMrZ8ilXGxCzAa5JS8zSFc9V28ZolcPRjRVVy6RYQ+LOvTQQeSQuGwvES
sv2q5qH3yhbVVcMrqgS1v52p2tKNM5lWQHaKx3uqzzzYtm346Y+1dRElJUZA1esb66bw3TyYtJyu
0SG58QO/eqFGI4DZZ7wDcwgz4dYIyylolM1j4nAub7izezOoU1F92gS8W2fa+zwg1xHbo7amcyVy
aBelrkbCDnQTxivuKmsNSi4+o/R1DnbmkYqCCKS5SmZJPskHqyYJzh6xKyl+ZPScJsTOgXe19Yse
ldduaj/Mf6qcMEPQbOwoclzwG/S0PetLY9lgN+ciNxPDVbvpAnIaNd4WQQVIcA02iog8qaBfiNEM
dZK5K1dE+jPOjeYmmxZ0+pO5LHujg48yOyqcd6HBfvIW/ZDxBNqWn+LF6LAjtli0ZPSc1g7XZHis
uKe/59ynaF6I07hwcpNLYluJf0M6QnnQncj0ikQReyegJwHsVukWkNkURI1VB9LCOoBVmOmfk0Iv
M4iuDfwKyU8/t/0tH9o5gjoTb9QB19B1HxCWmdgGD01eIQBn2wFIuc4hyBEHN6VZf6mc3iCBhIjp
lkgGsn/gQSQP+I/ywNSEH61cz3dvrnv/gAouDCwZflGn+jvBMxlUfccSCPTrBwHr3dcshEtGQmKG
m2i2MlZ3lXqIFrNFjOsUiFoqQj4XoyjWc9RNT9MUnsFNmO/4nuMHN7nqWqxJoTiQ7nT00O7sHZ1H
N2g5M753mRy9mESHNfIid1dlwnqtmwUxfJVU8lqhI8hi2wqcQf2dtxKlVLNZIr5cXjH7hLKUkJkp
bW+RDpG5Mdg0x81AMLxlJGmHtWTJDxVcoWTFHr56qiIqXko4eZZkdzw6C1Jd8kGMc9VCwRkBWgBx
SOXwVBs6YmjvWdZBRp4XIGmJn3j0wvdYWnANGTDjHyFxircLax+W5CV0XDhlaATCWJ5xU0sCYtB6
AMaRIrt1Dbvfx6A37hJrmTzopSkBQnkdzczsCmMD/04dwiKasRv1afcIryR57vN+OPtG5H7z7Jpn
E5nQ7xoe25ZYkpA0UWuGJGeMjvlKQDBVvZmlB7eW6a0SSGRWYmCWUXS8rwB5sSPsvYKMiJKRbl8W
BW7tGuEooToHS0u9QR4y3Rg5v2ym+CHId0ss6l3E6NjF8PDacNTF/Gl1vhUC2FcisCaHFqFyXdwb
SN97bbFUIbNnW2cpEaC2NbFxRqWxvlYu7tpRcflkFiYuXGdIz5Vj/SiaQU5liNDtZsLycJqdSb1c
j89gyDKk9fnkjC+SQ5lrudQM5UnJ7X5lzjSv/43mPNdhaed7e3apaPJmmjZCpqTuscZ37xm2lv0m
91N0Hn9OzP5PG23/PwqlUI5L/QHLynJMFxGnaaHq/F8rRTefv5rPv2Gm/dvdJ9DUv+0/h9958rf/
xv+w+Sw+yz//EXfVP3pt/+Uf8fcxo7L/AE9hOb7pEBah+Bj/ISkVfyDkdMGm2upKo7j6cf+H71Zc
AzBM5OPXqafDAPR/+m7FHzh1JT+PX+f6I73/iqTUtP9ZUnrFveKYwlIgHZbI/nUO+f15Scqoha3x
b7RLyPpAvATh+NzP1a3/ZG6jbYwKApI0+/2UtN+taC/2c4kpo18v6XNbJ9ukeA2JTk6Y23mDAyix
+KCiJydyHxftqje2ysP4QFFBmvkh9r7miekNedCrPnntxw9KocBghrcSy+NVqTZaM0j3ZmsbR+39
NLA+96F8Gtjn/wIWD/jvNONWLcfbqiFjWf4wrCKdiOU3DiNTQjXtCsxw5h2vx80MSTSP511xLQUl
o54Jrw/tDY9Ps03NLrpWxncTEV0+Yply/BJ++dx24qG4xiNR6nkovskkavHXOuV3l99Lb+ANA8GK
xgnPJW/PnJoY4PiorDPswMcoB2lpN6wUrP3V0UI6QQ5L6mRP8AMoL+/bHvNTHSGMNQxmHOKcA42a
dMqhaFe/XbyXaFidd8FugssUDISfAf5hDjJunTZjgTivm448WNkQmtTe2kl37qR9x3DkO1PyPFV8
VjwIJI6ZFoSB+bliBYPiM4jAfeDydbBHSboPyRgIoGZyjgrC5mvkDNdS665u8URPt//w2PwLcD59
2l9m2H9/KATvY2WaDLKZp//13soG0YJPJdVvWornpjNgszvteRrcPW/SwLUgReRKHtFr7XJ97xbT
zjWdG3ii/QbANOD89qrnC/3DNUQwMwQOnnHbpJDl+tA+20MFzcB9tB23ASJLEYX5qi5vRO/sGl3e
4J41sf9wcK10sjy4yNuAEhFHwFKTSwjG8sdp3IubvbOj3+KRWSdNsY1IsCboaE3duqnHK5ejPSGk
3RDHsokaY4+D+ty4zXawnfMs/JNkpTUBy/KnYlfE3VMKMZxbEpzC0TE/JBPIdOmPyP3vRMXcyagi
dlqKEYTPXQmVaKuH5OSVt6om9ZUUEZSaX0U37/Nc7KMRWzQFj4C7vpyWiUQxL/yctbutSobJ/MBV
/2frZ85HXhevlhWRvvJkNc1tA4mqNcencvpYUne60daMEhr80nsd2v3KADCC2SqItQlfgltklM7W
lP6eSe8vZCMAD4v5PppJSKbSwxhKPXhTj2wF5PLxn98m1jUt5x+d/9e3s63AssAjFML/543HUrFw
bsYyDGSV/Y6M/jXk6wsb86Omz1qG5og37oIG5m7ph/uobRiMTldV6cpEvbXtanXK8EhtkPcRq+Lf
k8fOu6u7tJ6P6rvD2BQPP9ot/zd3Nyuif/rcBAoxwxS8wDlgTOH9U7ZiS5PGdiQNg1o1CieafQwB
QC54g6eePTFCG0ZqMRMZ3os6knuj4CVVE6Rs4ahksFLHjAOVwRS/qUfoX0pxz5IkSJ8IBye1VpZE
8pMMj7xYd3Y+nZO0f9R0WouNPKuxfkXu9Fg4FMK217GRbuiPE7Y6jewqJq8er8bB+iFPmnVE1xkn
5oBoqRZYrbkeL/EwnDE732jJgjyR5W0MkADFs/9B2IG5srPhSZr5/YBFddW7+gfIWRy4tn4aO+PH
j21CuRP5I438sZXpG9kGu2Zo861r/mgmQjHKI7/kE0T1ATXNagGP3MXuC+iCHYFi/ko1XyNZFDPA
/qoYg9YkiX5ciyFe07+8lqQEjkm8d7D/ol27FUZybjtODy0wmHkkcZgQHOMewWfTPeOKvk5q3pas
fo6S6b63kGkM16bF6PZknq3rSOzdunx043EvMMSRIfQdCv2Yk1TQW1BMmWI2qQsJxjtHpThUejyP
jrehAHwsTIt+pZCbXviBb/rsdd1tFIstl/4kzDwYh5FTJnllDL1nNhh0Cs4ks+Tq1IVL0M5gKMAM
5AqpbPuWLo8hKCYEt5u4v/F1dkD6+trwFe5mmhx2ExB4y2LnZUsQX3v6xu5+CF++poece6SZoBrf
62JBw9um5d6ycrFebIeBilTda1qohwrlOlVnDWaXZYyvhzMNMyAmZ8Cj+oPuCTue/+owNUUA/MuL
iMjusTBUVXgqeQxpuKpzV2d7a2G5UAGjGeUli9Ibx5rHzRLKVY2Ibm1AZA6NbsPmf9um4yaM2pKT
6S21xr09Tfuij32k7wnO6I69eVy+Ra17mhr7Je88tiXyzV3qp6nou4C7+lCH6mex7JuwjxFztKgu
cjO6mSfkKD35gBswSnngOsspizi1ZHVf1JQXqhGfTktfB9z8UtnzZ1Zjjsj67o2ZKilaQPzWRGWe
G6d7HhbvOJA5CPWI8Xt2yCz3RSqzXHfmBCQqfQLI+NZb/Y0gi7eYoIMYZb4xc3tvjLhshTgXMtpk
bviCmHHlNeRUOf5F9sZtlL2jmcBc3K99oKbtkDzYYIqp0hFv6J8lAc7MNzZNPrawq/iPCPBuIbKl
voTG15ChM1rEx8QGL7Kmrdn73ykiYsSDsE1c9xL6vwuaRuUHjnHXeHcaIZ99X/YXZKnnhiST3sYK
Z1+GGRL7f2fu3JbTRoIw/CqpvdirhZKE0KG2NlVr40OckDgO2ThXLhm0SJxk62BZPP1+owNBRtiE
oTbWnQH3jFo9o+7p7v+fWF/njxG4D7SMLuNjUL+oGSUzOXGnfna2SIl/omvTHqQcJoOCetSZUeTk
9VTtezL+Yo7nZ4YVQr74WUCAj6P0ih4TzKVFpw84gb7IHH1QQCShWgdY+ezcB1QoNE+71O5A+S1A
hHk/fFLTIcWq1Eh1rmNA7o2MdT3Vri37kh4JcAM/KwLkkr3y2/2NNoWLvNsb+7dpFJ3Ok38fJwEo
VvbtY6czO7UfotvWnXHuh+NzeiVHDykNdCTWCO0Cu5fB5kE6Je2R8D2K7QBqWE5Yj1pgZvas8fwf
P2uNTx61TB+1QkjcrZZFH4VpnabB8j0Y7QNvfG/2lhN1YE9b34Ms+xZMl4MlLRzLm9g8ptaWvA3E
n+84YpydcP69oBafoOshXQyDZHlmLc1zckci2Ui3rYU7BbQiJ6dQsYQKjJb0Oc4nqRPTcJrQWWOk
NzSG0H6wNMzb+cPDhZ16LtyqAxDn747vJxp9Udm4FwAGcEQ3/vTkxqT5AsCX3uSB83eSYHcq5+JL
/UNwB+aCwqmIejaOjQsaYnpqEPZBpmL31fvefRcctvgMtHOtpwNMcBrqlHvrKfX85Pt94PfDFsW2
dgwqSCs7+sNbEulCEQMbcte+nFJFTAopGfjK/BqoQ/olAsrJx9HNVcdTL9CNfwIWheCEuQGRwoTq
yVwkAIJCFENBlPHlUOGoRLlKGQz3nNg5yTsMPydumF254MzFK9Qi8e1l4C/iQbDfjyo4pGZBJVLT
C/BPVKeoRGy1aDWfVD7j52TMnNiPkxH8IRrsh92ugatiKflF+DsLFuPyawtYKJNWR+p71x9N86wL
HT1/Z7v85rmZu/kj+QHtqONYySnAahu4b7iZRpMCaO1EyTplPSqdmlz0bzLempFsM4MD64FtYxEL
O4RrfLF+vJBHVruo4ImENRugOonmVFMR1Cn5VbMB025TYEXtkt0tNMQhxS9RwVauG9NWAHAuplUw
da4M9GeWgtY2yBoRjRJpiKu+FEy13bXx6TGHQkm/yhK2qoG6eq2Y1P5KoF+ZRmVFNCY3KsGA0ofe
FI6siqvYf/7/5bBVCeI4jWBslwXxRMbagjDaOc6coZaWgGmtbYqc2lncv2Lg0efX61MCQae0EpR2
lwJLcP9Ke+eYcU0Jlt7WNaurd+B2yq9Xp4SOZhiyr0dVbSuqoSocP9Tu3rTgwzIVjSj/tW2GJOAE
0ZbUAlDhWFYVXdO3bIXsAmAaqMAgFAugsLVXtAtwXi1KduWUoLR1kBRM00TSmuWbBs+enVZXS4/h
J96HO6ho5WNCKjIb5d6l70ZNTui2H1Sex+b3pWeVu08cyNZ+KJzNYuzCxxJ/v61tkbnXs/Zl5QXl
45T/Xt7g5tC1saq7qj48993QCYdeln+RldMUxOZ//UZuxSPnchk6Izfyap4PdN3V342u8urxPys/
ipx5JUZoRlRXV3/vL5bODSesxAixHVvDUH6ob4O7b6fZnjth9hSopNMVqCLSkv25MwRBvVHTOiGA
/BAXDsx1b3535nd/vnnvRDBz1DTEfiLeWrI38t4JF4RnU6cSlZt7sStKy8ZOZ08E5zuNrOAPzjTy
nFHqune1aYtGguqD/Y2x74y8rHkNiUYF+QE+jXymX8nJV1Hhgsjq5TIZJUPPDcOsJtzoqHjn8sIX
E+e2kpPP2iCUqD7YX99XzsShSMmpBWqlZyo76S/+dOrXNiySI8INkRU8cOb+jLz2KKlk5dtW4UXJ
Cv8ax6TLGzbxDunqA1j4NzeK3xy5oDjNarMvjkhkZ9932MzZsOKwZuNlwCUr/SyZID1en/cqopWW
HdRmLOTCUVINtb+F81Ze1Tt89IfBLU/3XQSM1iiqhAvrwUlUVRGPyd7H3yBcbn89Ucym5hlk2WH6
/jII6+4AohVTE+c+ssIHwHhCp1oJEvophR9g9TZXpmyMRTVJ9dn+D1/UvohHXUkq70QwrRxATX2B
jJnUPQMlp3E5gJr6L7DEbMeU28k967kzz99UizillLWerfVF2BCa1w/wPjwWNAH+Bhl0If8AdrML
3bTkA8jfM/R5PrXOku/gAG+aF/kUJO/gRTBCSfm79sFKDtO8H+1TKffsRJrizdXx/GYUWqUfmv6t
HmKLXwxnrhO+/Q8AAP//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rich>
          <a:bodyPr spcFirstLastPara="1" vertOverflow="ellipsis" horzOverflow="overflow" wrap="square" lIns="0" tIns="0" rIns="0" bIns="0" anchor="ctr" anchorCtr="1"/>
          <a:lstStyle/>
          <a:p>
            <a:pPr algn="ctr" rtl="0">
              <a:defRPr/>
            </a:pPr>
            <a:r>
              <a:rPr lang="en-IN"/>
              <a:t>State-wise Sales</a:t>
            </a:r>
            <a:endParaRPr lang="en-US" sz="1400" b="0" i="0" u="none" strike="noStrike" baseline="0">
              <a:solidFill>
                <a:sysClr val="windowText" lastClr="000000">
                  <a:lumMod val="65000"/>
                  <a:lumOff val="35000"/>
                </a:sysClr>
              </a:solidFill>
              <a:latin typeface="Calibri"/>
            </a:endParaRPr>
          </a:p>
        </cx:rich>
      </cx:tx>
    </cx:title>
    <cx:plotArea>
      <cx:plotAreaRegion>
        <cx:series layoutId="regionMap" uniqueId="{00000000-7DEE-4B53-B1A1-705411C658BB}">
          <cx:tx>
            <cx:txData>
              <cx:f>_xlchart.v5.6</cx:f>
              <cx:v>Sum of Profit</cx:v>
            </cx:txData>
          </cx:tx>
          <cx:dataId val="0"/>
          <cx:layoutPr>
            <cx:geography cultureLanguage="en-US" cultureRegion="IN" attribution="Powered by Bing">
              <cx:geoCache provider="{E9337A44-BEBE-4D9F-B70C-5C5E7DAFC167}">
                <cx:binary>1HvZct24suWvOPzQT00VRgI4fepENEjuQXtrsCyPLwxZkklwBAmO+Pqb8lSWyuWqG7c6oktRIZfE
DQLMZGautTL179vlX7fV/U3/bKmrxv3rdvn1eT4M9l+//OJu8/v6xp3U5rZvXftxOLlt61/ajx/N
7f0vd/3NbJrsF4Iw++U2v+mH++X5f/4Nd8vu22N7ezOYtnkx3vfr1b0bq8H95NoPLz27uatNExs3
9OZ2wL8+P7uBXW5cPvQ3z5/dN4MZ1uvV3v/6/NEHnz/75entfrf1swpON4x3sBarE8YJkpQr9OkL
P39WtU325bIITzCSihKmPn/xr1uf39Sw/C+e6dOJbu7u+nvn4Lk+/ftk8aOHgGu7589u27EZHuyX
gSl/fb5v7gw8uXFt9PlC1D48wf780yP/8tjy//n3k1+AEZ785jvnPLXYn136nW+uboobN+Q3zVfz
/M89Q8ITLhkPQ0w+e4Y89gw9keAUFCr8Q8/8pRP92C/fLX3ilavTf5RX3ty74Zm+b7Kb6m/0Cxie
8xCFSP4oYqQ4UYIgikL2dc/PofIXD/Njlzxa/MQpb/Q/yinbsYA0Nnw1zt8QKOQkVCTEgn0JlCcp
DJ9wJVCIMf8cKOHXrT/75S+c58c++bbwiT+2/6wgubgzLv8bKwpBJxxTxBiUlM9fj/KWZCeMSM4o
+lJwnlSUPz/Oj73xdd0TZ1xc/aOCI76vcvP1/fwbQkOehIxSqBLhj3KVECcQFUxI/qWGPAmNPz3N
j13xZdkTT8THf5Qnrm9qUz07v7kb/z53YHyCcIgRkvJRTAh5wpBABHHxdbPPuemvHeLHXvh+7RNX
XANk+geBq8N9f1P9jRkKoxPGlBRCQIl+DHYZkiRk+Eu0AOL6jLM/e+PPz/FjT3xd98QLh39WQBxu
+uZmuCn/TkewE4ERI+wPKjeQj1AozCGDffqiT/zxV070By75belTr/zf/69j48dh+z0bfPSJ/yYb
JOSEciIFUl8srh4HiDqhIWUYKf6NknwfIF8Y2h+f5sfO+LLs0cH/H9O9P6aC38hyDC978ollf8cG
f3710+MB/X+y9Gdk/bOt9nfAxDlV8IJ/Y+8PN3mUfk5v6np89r9uavt/nh1AB6hN/zUevlt/Dzz0
1+fA24VElClBMWOcYkhlM7AhuEJPAA9wBk4O4Z/woRQ1bT/kvz6n/ARTxbEUVAhFVAjed+346RI5
ISIkWDIMyC2EFPlN67hsqzVrm2+W+fLzs2asL1vTDO7X5ywEkGc/f+7hqAHBTDCBBIcEbG9vrkBI
gY/h/92QMcPj6Py2TnukgyCdsc4R8zofzXRuWRm2iUrTzmgczLnXo2NlgoKuO6zLlO7bLOs2ay74
edgseYzWRcRVPi67irZ1EgxpVkc2yHC7GTme4tShUs8pdbprh3VfE0F15fL1zaIqtxVDjhLXoXzX
1n13gUdSvsn6tE8K0ebbGs9DNI9VeVCZUvvGz1RT09RJ3eT9aW0mpglW5kaqPjwIQ4SJ08KqKXYt
5bEsmN2WdVlvpnWqdGvn0Ok5o8XLtmsGqoXE8ujHLCiivF2G+0xIt0Q8mMj10ATt1bB2Zj103WQO
ay/J0ZIl2KSyTbdrzu5Y4X0UynAZddAMhW5LUs5RSizbtnmY3la8nGLvGTl0xWTjxTX+XVBORbL4
ge5wWvLTUuTr9VgCcTq4zKU0UlXu2gSNNao1Dmt+1vRs1DmpRt0Gc3rghbAfWOknPTgbxDILcFQM
HY2VQ/19WzTlG8FX+yYzatwhZslbkZeLiBDPm1NT03XrKzUOkR1MfzvSMT2lIw7JNheyRFrlju/n
YEKtJoUJroOgFsuZZyKFdWOlPq7Y+121eJJpUwX9IUSZvQmsKbkmbFJRUA9DYlCF4tQXcBdjc5tF
I+2HxPVLsGs8JUnuQxz7Klzj/OGTNCRrqTMzkquQjPXHbgYvxKSn9nVp2FJqqTqbvXJ0llNUT6Tz
2odO4KhCdd1rVsrsog4F3au6yy85qUmEbZ/m4O52JmC2vl2jbszXyzRLF+36okoY3JJc9nDEm7FY
RpzwYEBxs3a81yIYlqQJ5naTelER3cAu+5wF66bOcfpxtSGcydWKV8mEcxVEGF6VPEnnjlyJ0KU3
Co2l1DwN4NuCSeJrw4s4V6sKN7TDzTE1g4uRaPsXLSFVr72y2GxGb4uIEG+uDKuyj7yzebSkrU1W
YlYb8RY3ja76fhi1nb2jWslqHHeFDNBdyoP1xucev6KwLY/bANOPSM0SQjrjbRdPvnazFlSiAOLH
2VTbqRqms3pqJI2rklmpZUXaNl4mznaK11O6IYGQ7DI33pqYTX3WJGuxhLnu8jHPk0r2/CU1opw1
tUFd64G7hiQF7mSlyTKi+3nt2n0wGIz0UPusj7usEY0OUMpP8Soyp3Gl1FW1LLcETWy/4pbfssZX
O4Sq4WrJuD0uY1bGHnfsEoyiWISlXV4vQZHdMCrNvg77cm/XdNj2ZKS1rsJBXYhSkZeVdTU8q88J
jep5Aj8taTUccOHnNuZrbya9hmq0ydz7cafyIHupiB1jMll135MWl/EyBMNrJUz+wfhi/pClxbQJ
u3Q99zabL03jgtNh5fVloTgfdNYH7awZXtn7oF/pogdB60bXHrXHCpwUz3WbvYeb1LsiR+jSFZhF
M1Pvy6a0SdXY8Oinqonk2PPETLI6Divl7yXLRKGbMTNauKJroiEdTWIF5B6T23KKcInNGk2E830t
aXtaU2OrWIoHrw2CpMeiEMtuDY1M8r5GNlmsTI/c4UpEfYC6Sne9cDYB66Abbpl6FdKxTpBz6qr1
1Yu1aeYoWxarJyabDQ/k2uiFj/Y65JM61LZaoowxc9uSnJ2O3K8Jmka0pWyp9lNBTcKdkRH1bbkj
JuBxxfM54V03xxDqfdI+5PRmLUXcDSw4DbOFvasyV63a5Kzf8pmqqFwrcx5A3jurQWK6UC7o45yn
U4za3l1xyPOXXTalcdO3commsey24Zyzy3Bk5TV2QX6PRaNyvZpySkZJ1MHXS7EDccTsxobP24Zl
walVOd+xmTRtVC1u6WI718VZxuu5TDCd/YcsUG5XlLW5qoO82M/L8EL5VlUxZEtWaVUo8g7qtjq0
fekqzfkavvDIOj25bO6iTqH6VA5ubS5YOiyvi6XNPxZFmV2NBU2viV3KCqJjVh+y2RVR4Hp2jjMC
LZC6Dt+MpujjBXkZKbPWO8YGL7RqcLBpQsGwNtMsXtQLFceq92FcUT8fpz5g52GXC6JZgdPTLCta
7VE27xUxZpPlnu6HYMoyzfEwbERQVFdcuDoxJs2x9jbv7xGnJj8nYvI3gaTY6aH0iGhUtjwq6LIc
c1NkUbamgV6RZEcv6+kdcVmxQQyNkYcqtp1U3T7keJlbbdK0jDBmzWlXUnvuZSgspMCO3NOpbc5z
Cem3dGurIiS9190o3W3qZauxb8hmmrvg1Es/3tcSUnKL3fSyz6AMacF4uaUik6dZl5U3xCjW60aR
7CIrc1RHa9WbTcc5jbI+pPtxZAyqgRXjQcwYH6YazbEK0Li1tDDblbWQ6QJYszc4K49tly6XhczD
7eBRcepC2YE1h+5VOjd9VEM5ibJmTXfl0rqrmfd+E8hUXLtCTZf5NNOdr1eo14B0DzIIz3OEm72b
AgZgwI0Q2kUojgrq6ofv2yyPQN9tayFrZfmXHte3H/9z3dbw36e+y2+/fGiR/fbT2dfe2tNPPSD0
bx/7rXnzgIq/dXKe4OzPjbY/AOE/vfjXEDol4QOQ/WOE/r3k8huw/7LsMzCXCBgWpQIinUsloVR8
A+bhCcEIUHdIkeSKCtjqCzDH9ISpT3opVaEA9RTQ/BdgLk8ARRNYxZgQwCBQ+N8B5gDwv4PlAMmh
0ycVfOOwG0EEP4bnfUflGC5hn5jMXuK0nnQZdO9rRrOo94MOhvKUucXvRlfm+jtL/YAThPTh5r9x
AsGgnSJCrgjYBPgKPOjjzZcAo2IWtkpwFfhdOoRZFAz5GvWQEfUwikH7qiBH46Z8O1pkjkOL0W2z
qixRdsnrJB8YQA3l/XI+cen04hd+aHq/6J4betr1qtGmd+oMcIiMx36d2l0a+mzdpcjGaW/Fiwmo
U3lma2miLgyvaQ4lQGQEbih8C8limfEFazGAxzF0Z5mpS6NNOUQtH/ymCqkdNK8cPRfMB9cYdW7V
tqb+Rb9m5EikC66FZwtg91ZdzDTzWgjKzrISNVsTBOurwnQs6URaaVwsAKGqcNySFfGDKie15cYs
e89Aeo+WPgiMJiIPyh0THTkK3oUu7gMzzvug4y09dGnQ2S0TNN0CKDe6D9KwjNp8le9lygoalcSS
K6pwZiNAlUOuhwCs5ui6W6fCHQfAFbu57PL6RU2z6b5OV/SuYc4VGvGgWSPkG1iqyDy/nbMsL3Ug
5/plQ92bsQt4MqUk14oMB9mwg2oau8uK3u2mXppt0QXvwxGpMzSyBUrGuHS6Gt1IdFkWozmEkN8H
yFzLcj7azoOzyvIwyaXeVnlYbonM5BgVnWyPDRFkn1dLvaNTPl9ntC22Kp2z2PSj3zgng8SP4G6H
S3RTNSFKwsa6NFKiXrZloC7qtZuPqjTZprS9PaNBuW2J4I3mc74CJndyhwdXJAoihwMyG/FxNXNu
o5rXgGOKObUbG1Tg/r72G8B1bA9sbtFNQNRmYsTH4TC6N2GG5RtRlujMFhbe6YwfJO6odg/v+ZCZ
KuqQYmd07dX1FLZG5/U4xLNrXULR4mJeK8t11uWLBg+6a0GAT0Gh78uXMnMKxxMPOW6jVQUuj8u2
w6N2zszvCzlSvLGhJAhMjJouLt1kIFrwzMsN874ONZ2BRG1qY/y5bAT90ABKuEK0MTnUh6Haro1c
X840FfceUMFLMTv1ahgc6fSaj8H7wpDlaMaaXdMyRDhe2qUT5ywvVZ00y9T2cTrxdN7gIAB4pHhR
RDMyUPuXssva/VBm8we7LmbUU0HIsehxj99L6YD7AaeMHiSLDuI6LD64pa8uARuVgOjH6toZwndN
2+1dY/hOVvNHPwRW1/0yb8qG0o9ZK+ydWVyxWzNuzrpyzPe+H8oYp9Y3YE46nYcqtwfEjYWgXvDw
KpyJui1Smu6DNvRxwKsgatw851Hmar4rUVd0scHOnXnc58lKm/4NTasuqcYZn6PW85vUT81mnFvz
EfqWOJmbublqgkm+bGeFb+rMh5d49OM2zVMw4SLdq7TI2201OXQclqx+mxe8e90WlL4SUrF97mal
rV2HNAZqD1x/HMt5a52rGl02ABkjkxrc31aGNNkhpz0wnLqoJHtFWtMC5oWVb3ufbtNizT+mKQ3F
jq1o9AnOeet3ZA4804Mp1qQN241cc7pqxX0t42LsFxRlqGsAqi1rqB0OFMDBYjI38KYtq27SfIWE
JJRBcWAgG68A3rIoL9u02Ag7r01MH3D9KDqhjoNd61NPV+w2HStxpmVA5D7tJH7PA64ux95P+w6J
9I2jpE/jIpjmIC6a2QRJmk4QNpMJ0ps8XCuh00HNh2zl8+uxaAaxT0lv0rgrSv8Cd0XlIkzzKUkz
s9w0xWLPhz535DSvpUqmYH23zkFD4jUDwzRTFbxsRmrvgWZNe+eBWM+CTCNIImMj9TqtQxeHa928
hZffZ0ntpyWL5rVUdFumQ1vokXcr0t08hXNUi25w0Th0Q6nZbPG7xU40noa8xEDmUcN0OHbDu6CZ
HUtEadmbmln0tjOZiVDnya0ZBxJR5lWsBt9vEPCSi3kJ1Z0DOnOOukUVW8oH1IBY41MfVT5tt2sG
HDqCj5lDN3S+jTIr6HW6PlDnmUHQ65YN3W4tejhAXfoy03Xu51TPuBiszsoCiGvpSmshZ4Jmr3O/
mmrblmsz6DTjYx2RkPplI8vZBts6bGWgyUPdgfmi9jWUnjSLV2B9Y9Quk31VmsEfyr5QG3BZE82F
HDasrJZjZ1MoeJlqlEadGE6ndnIgMeQ0GKK6rZvLLnVjxBmEgw1KAUxz5ZcuXYH8q1rQi2KawnPM
qj7KOtIc67WfIZv6/FCrbt7m5WhATZFhAZw2ZAr4kaX5VYAVDuMZeRdoNs3oIdADAAlDT5IMKXlX
rDW8t+Nq1AKSmnIfe6AVF96XtI3QAAKcQxkgIdUO+duaTSyWqB1eBGW7pUO4XOYzVle+nLPXeOAg
ypFVRKByjrW2OUk1a2oe5UL1R5dn+YUTDsKWhAF7VbXddDsBQ4SYMb3QBGXronEeIh+ByIs0Zbw/
kz4/rqxJqn6Cgjx2bstQawFBkPx6Wor5fPIWFuesK88JyDCXlanoOVtwOOlZBOZqGQakVzagQ56u
oA2BcDK11dUY5JMOWo8jwGQbg7ImBgB7yyYgzHPYX5RrhnS9phaInIX9YGG4mdJanA7t3G59GZKo
tjbfMEtnp2XRyMs5b1WhQ4dpHZeEkVa3oW0PbSnlW6hyc6hbeKkABwEQ+lhPuT9fnQXSLk3gQYsr
QqpHalih5wkOtCd5DYyKlAxp48b+fly9HLZMmuF2lHkP+tgwTbmeemt3YiLoWFbNRDTIQcZGRS1W
DqmVN04rXKfzvjGhhVtnHtBaWY/NS8bW7uDWwY/RVDEnAfJxqId2NOMb0JbIm7lDVQIEz4POA1Al
1EM48lpDn5eZpOhQeOttKV6wPp1fYw+QMgLltjzNJLU0GoAQmqR3qH3VZbVbEjxPEE/1qtRl56w/
L1E/7fpGsOsiSNUOEVJc0CyUbxdX9iha8Fi1cQlyr92ni2ElHDqEk0yQwG2UqYoY3fGyv1clMflm
8qQGqXou1peccp5rQOyERc1aIL5DS9sfxwDk1gRE/faYF7X9OIgMtskKvEwPfmGQV13eVxEOGSQx
YPfcHfturuaLpmZhpfssGJuoqqfJJ6BerOlFhhbZxEWGwet29WCgolSmioFmD3zD15y8nEBZD07H
VGQoKSZCplMVdpPcYFwC6GgrdTpOopIAe9ACCDhMkQZBqzy1aaEcoDUir62fyRuRo/ANBHUxnWLW
00ON8+XoIemUkNJL8Wq16dQclrDMO43M3M26XBSnsTSqB8hqF3vwTRXcyKAzS5wGHnRBgQBGJSC/
OBMRYA7TZkDh2EfgE9Wf5muavqmqqXjdr9Vkjj4fQrnnw5ztq7YfN3nfBfcIF+lpmeKw1Qiqyn5d
ZkjFrcyLt3RmKAeWEAxvwNv2jGFfVJGv6bDnkMx3qavIwbOsB6CTDse6LSoT8bQFTQ8ePVnhEGO0
hGw5txOv8ljkWep0AfBojK3q+PWACOjUf8LHMHpKxzhRMK0goPnK5UMT6TEdg1bNMFaGDUmKUbVv
h+xDY5qXHbZvqapfEt5AYRW5igFkvnfF5F/8nA8+dIIesUHYHtrwMOPIoUWM0JNOUZk6UpdzMCR9
6jodeNscwfjV4ee7fGK0T7dR5IFxItgHBsUeP+Xq/ERmz8ZkygbghNMIXQMR0EDuWO5B9i8nWxNN
VJPfNVCeSEzmroIOyVTNb/Gy8v0aNOMxtPVwVRqhzh5MFoUMkfNgtutbQoAomDLMmmiEujhcgkjX
pptPD/GlR/mFO3/ur32viHwvkPyPpJZHN9retw/TDu4foMcIhSihoIX8sSLzbUbvNznm26ovnVKY
RxMhVdCjpBTmNn/rlIbyBEOjm4IMQsBhlMEr+EWQIQ+DCwTklk9qDObhb4IMjL9h/NDOwIwQDJCC
/XcEmadRgGAHCWEI6g8mAouHIP2uXwpa6RS6ahHJwPMq196v65uchMvnmWhwLHSjv7xA3zdkYc7r
UbABugkZEOVQQZMXnuvJNg6mXYs5a8IkZOX0fkKB3ADwyHo9DeW0zWo7bb/zwg82xCBz/W7HkH8S
fWDYAMuHE33/YLUv5VimYSLwogAh1ajKI4Ai9ayBgDZxHdbmpRxFsRtSeTXOSAW6U7V/36wUb1Gn
HpTQnJ7ibiIJ8WNxqtZqPgNq5Y94Ke3Zn5z3ccNasAcLgcsZ5zAoD53rJ+moEEG5zksjkjJt67t5
WssIOoHwvQQQCyQllQAoRDhrI9u7vkX+blzk/HrNCrvlY8s+ZkDZXjXQ6z3NFt9+/PnxyO/fEzge
pUhAe55CLYT38XtzCtUhW6g1TEZs2ZnxuFwiAyJQLNycH6B5JlrdYIBg1UAXaKijbDeArJXAmeUu
X5h4Q9asvliX/ICx3aM8eLFkGCBOOgHC0lCpy3cUhgm2U8r6y6ol7Qfo5JdbEE/s1c+fhT0VIR9M
DcNZVBJKYUzhQSH9/lmk8TMaRsoTO1YAeXkvgdIsJIuhfZSfzr0Zy6imiCdB6+a7JpzbVFd1o0po
mA58ByQpeDEuy/AuZBMNNIa+Z10G/O2CS9CD+JnoDYkbYaZIVEF20dBx2g8tUIs+K95Z3kGtTvlb
xQd6PgRj1DTrhVzNtLNrWO/LvgLmUTfdkQWpt5rkM0hFxOB0k9cN4B6YOkvGVcJ0QDXTs96i/E6G
PSh9eKT2wMPOnw0F6Gk6h2x0gLbYvOqCBGqIW78Ub39uy0+B+315A1sKRGHaVmCKaRg+CTMraldy
t/IEp7S+aFHZbNpiRkdJ5BZGRz4GxbxcAOMBKlIvMq93Yw8iSthV/Qdmu+Gsy+apBopHxH5uqyoW
QQfgvWmgCR6k1F62eQuKHjSZlkNm6/VOgQTycrRpe1DVErzFtMyO1odZFlXWAPsAoHiU5VhshjFE
f/LiQGb9XU6ByHwoCaCrcwiFxy+OlchO4iEIXNlN51lNxvTBtGxvIa1fBtB03XQYE53iChTZTmYH
ajmCzqmUdoc9k6+44+t9P2fo9ud++EF+lQ8pBBoIMIkrP43DfJftqmytp4rPPJkl4RHt24/5tO7Z
UC6xWCaYJ/9W4X6QW39gBkBN0BNAiEoMKf2xGVqoD7NcB56sqxNvUbu2D1FcXPx8lx8kxEe7PInS
ShYmdBQaxiU15h7B308d17EB8Y0Nzbr5+V4/yAgPXQn1UFElZeQJFIVXEpgn6XjScEoONKj9nQ+7
8Aj4H12RxUHabUBZazVFqLlUTdrHPz/AD0yqYGJJwaQ05wz+94lJg5nbLuc8qQYxvcZzx/QCMxp/
UoXJw22+j1bA2QAcOJeQwuFvssST9guBlCvXqgiTifdX1pEsqtG6Lcz0YoFGmzIXS0Mjusx3y7xG
Y14FFx5XKUgYLeh0dF5jNY4uGnLWvgidnbciG6AfsVw5YjvoZMO4kzVZpRGIoJYtZNVU+T6u5+6+
AN3p5yZ7+n5wCUP+0LWCBjD0kxCF0bbvs7hnvuzGsBcJMIY2gskBqcN1ymIftsGfeOd3ZoOu10Ph
g3Eh+GsoLp+8HrlPSSWA1CaiCrPTdC2DnUB+OmR9U22oS8cdmFr9yaYABZ9GNczPQb4BuASZFZpw
T901kwFmfvCcJkAGrrkp24RmsofuwzK/pV0Lujpe3FWQmX2fze+EakAOnVdyU2QE6wHlB8A+ehVS
aJqGl86CAA3Jrdua3m6robHapeZdSty7dsJbg+ZWS1lCg6ZOQduohlaLedmDHsw0jFGgSxXONupq
ULvMmmf6QbfWBq1o0+OUn8Hs2BIDz4dRsqDaiGWG3kwK+he19Yuxy5VuOmhlQzytoowg6e9LJl9m
qh0vfHjDrL9rQDi7aHzN44bz7K1rg/Ei6AqymQuXPUxdYV13sta9E8W2MmEDqlFXFe9WH0BHYDRN
HqnFTXekUv2W5cDgdT1Q9m4xRG5gPuHa2umyl1uQzTX09fFtanif8BQmWUyQ1e8F58broeL9hndl
mTRG2d1ScdAk174+Z6D6XuIlTEeYIOuGBBcwVYj7kdw7WsqzuhZuA/10HKemnKH9g6c08XMo6jiF
KvW+dM2cGNcsjS7WyFb/xdx5NFlua1v6DzU66AlOaQ6PSe8qsyaMsqADYUiAJH79W3n1+krKkHRf
V/SgJwoplcVz6Daw1/rWruQxlp0oAbhxBgbGROjYVbtfdNhG901rVZF2e7WFXpWJ7SjaydXBGMJO
fDJ2gKQflcseAFtbw6thNU/Kmh89dpcvXSCGQ+jAEWbUfuKtOs98mw+zARLVBMp/UX0f3ttBx9Cc
peA41kggXLksz0J1zzP3sjFDr+2QRsdFag1ykpExH+iWFD5Z7K2G7Vn7bozvFkv592nGbTOaelHe
tOwntUtWQ/Cej56i8n4eqf86KTl+WruwnvpFLIeu3+idEFxC2hyNzjfmtXHBA7WX6PP355G55T5s
dvMsgz4rFJijJ9I2spaCDDdEKnZ0sCcfBmy0bkyv2qKH11z6iqf45ETeNI6Yalg3rzIR9b+Qxtcn
2A7xTaClKlvcvaPr+XLfmvGrtun+tX8/wxWmY60be+exqHbiyfN9v6B8v4Vgf92QdK57+Mcn4FPi
W9P47ZPw8Eiq0HTYgFO/pGrwzyQdXblAli9d5sBlwoa7T9Xa3gxKuNKTu1+IXU8/qTdvB2Kj/cyl
5rdTTH+0Kn6bPK/J4IAIYGw66LZP6ZyKY8RWECg7dOY23KBczq070bWfcqPZJy3nTzJbTZ8vsa+/
jsJfXhgdkiOkal5n4S4qiOFBgc4HKhvXcalBlB57LceDJpRVMbySwveS6SXSE7nu8K1K6Tf45WF6
QIXdjoqr9eQvYVLht1gdpOtVM9sfYcwuo9jg2PRZMuWTF25F37X4BcLaR7tltLKbJYchpPS2mSVQ
I0HoY2j2rzONxcOo1+Q2NqgKeAddGYWdPY08vnPSC+9Ny3FPAiOmEuaUOUf+vOKlWtpDm63wpzI4
QoGQV2kPYXYIky5ne9tD1nLt8xK2Aj+T7uJ5Cico1FzsMaojBP8dC4TigIJaBG4NpBU4PutN55rx
Pt7Fer3EBKCv1EvZjn0dR90b/On5wKD1lxEZFeqqLuGV23IjvL8RcAHznWzBNwiiJl+p6kuVtV7Z
DUzdBYRnLG/Q2oGP5NFL2KgYNRA2ddW2U+mnwy3oTPPAmv3icwucdD65oX9qhmHCGcvhHtYscNC9
C757bhsfpO2x06cQlOp+DlKaazf15aaTW43YSTnJ1h3VFj76DWDfKQpyYxoLBsDUk5OmynTwdbLq
0vpg1aIBgluU5N1ko3qVQGU18R7FIEu4bvZ6im1ztRrRqzwG6PW6OO6XUq1T85mhPbN5C4n+sPf7
gu7a6cviL6yAMlxBVGY3xkHlXoLVL9o1dEGRCqClRGlTmC6bSA6gMjokWdQVYm3O2HaIWkBivYiQ
2DvidwpGwTRdtULIc5zM4iFK1D3MrT2Hkku+dJEWX5z2htpv0u6lmWhULVvUXXWNDl/xrUU1myG+
maDo1dlGXd0msv2S+aQ/K+qZPE2wcupgV3gvZHa0nTGFXHq0g+MOL58JfpJhDLV2j+Fna7jq4yrN
YVEo3n2n77X/c2ihI+QJ2ecnuqRTMfutvAvWcX9I2EAvUo/7JXVpf/GicK+icWk+TS7bX4F8v0MN
ow8MVKl6iiOshW3Q15Feus9UxK6Q0awOVtH0VTLPO3VtJs59yLDcgvX1ID2X2xCyOyg7S+XhbK9W
eJSXxc7xVROauGob6z0FXtvdj90SnvS80qsoY/Aas55dW07xb3Nmb1Taf5dc9U9tzL2ii5h3xCNa
KTN/pTxuD9OI/WKe6vfqkrWtP+Qj9PbKpcl+mqOwCok+S3Mbe13F52S6XcdO5UxudAGonDQVMTS9
DlUC3tx18fe4U/w1Daa4ICR62ZsIOG/rYflTiwUNaXWWL27pay8CSEOihJ+XQSWoYZE+RBBNy87r
Z6inWj2S2MKs2YAoWFjAcXtSYSoP3h5F+egrUbqI48FvFk2Ap09JdOqZdaeJep9otKR3FH8+Nxsh
91PWj9euU9+TOfArb9AhdsCjnh4nbW7IHB7TOfo5UX1mg2N38ZAl5bbboWQrMEkb4jqztIsLFe5r
DjnqemYSUm9TYKPWHHTDVwmBYG/hHfggcvzM3IJrYM9oMRM/n8bOP2TRBPs0na2+icKseUl16j9w
vnjXwbLKc8jYdr1t2/x9jjuw81a17dM64csQL4p/hJuXfaMdGPih6/oqaPHn/IaSUieTBjqJTd+h
ifvQ5qgL+5cgm9Mrbued5CBZpkpn6fQgwS6fWqD8P0Z4uybvQyIvrKW2noUMwR/6nf9MGuxJeiAX
tBQx1msL+UfkHD5KDQM6wlJpVPMUSR8MPuBnbCNXzupdhfGIfaZKJODqwMFfC8YXEWfbq07dyEo9
j4uGgdk2TdWbsE0Qpeizm6Ed7CEYyFqGaIaApDQkfgNNAT1PNuMbcPq0zmIQTfmwAvxcV55dZ6OS
+PJeAlo6c31YWUnUnI+KuNsN9ha2THqWt3Jv5+ve9g8wub5Gaf8JXAlMlnYPzpo17GiMezUuwAvt
uCr2dtBHAxulCkCUw33EcuMFaYrdrXbqXSLayoknIGpHaq6CUPuHtjHtIQ3h13CSgmrQvNlOYIcO
DQ/Lno/ZAasrAighnOgcyGx/IVsnX6bNXUzzHZmEB7oGT5raL75qT3Rnn+Nhfm2RcjtyRvi9sh49
zt6UFpHHwcRaOizlKDpeCs+fdS6cy26AQ+syjTN35CMxPqSoAPskGk/XWayXRzIPYFQERXQFUQpz
M0wdi/I5ieMv2zqBTsNXMHDJY3Y/Zttjs/HwKKJpetuc50SuVy88Qlpaf9i+WR4dcIR63wSpJinT
40R2hoQAlr3vxlAL8dVvchYlTd5MoazxJlNVLFrcU9avR+v57G0Si59r39AqEWwCdp2dQ8Dj98kA
wSVHDgag/9zJE7ip9cXTHRYdSm2o8g4ofZGAtP6+eRhokpsm6X7iz7z72NzJUu0kwcKa6DYqHJz5
87DSvsL+f75Nx6xrqwhSa6WDjF/ZqCVx3iUiPYx9m9Z95i0ouZEIC78LACPPGX0kW4qGIYVo+Ax4
QbyhYfcukChEjRhNhpfbZDVhhOVRA0akXwsAwtP3BaLjYQvfMfTOC4D0rOBpDXV3SKSYCmgLshKb
0eIUTpRce23YgIHb9HA9tqq51dh8VHE7TAXIQFGbhnZlhxjdhTP6PFrvHPBZfEXap6u9VrWPsNbF
o4tDUhi57PcdRzkFgJfcZ1ngfW7jMXswQxBcB6nX5Dgk+/ZeCj9zJtpHs3IV44eDf9F9HOSyJ9lz
6pblCdmDISvN0n1DYRlvgP5uz6u3d32JpIQ4+GqePoPFUTiHdji2MLOvxqVjN75j6t7qTZxFL8OT
ZGa56XwOy54E7FMnTXMrA0ABcoT2sia0u3Bs2D7xrAtdrk021tjzgBhRNiIV5Vt2VDa1y7vK0N1C
GbQvQwRlcCPgfkRm5yxPxDrfe3ObQk5xej9O2K9dknFJfqy+AlPm+qm7D/Go3iva7xNg6DUITnGK
/rgd0U0eBw1RNp+6dTyonk7Hdlr7T/PM9ZvqI88HMAfjIBfKeVmJzXn/bDAbogzo7lcRJ3rOUyTt
dE4Z965Ua9sbknhT5cdCHm2jQUOEvkQb2Oo7LJP9QYduDPGWKEBNO91fCPIwz6QjY0FHRF6UdA2a
w2m5GdLtPm1oioffDuYocQokl1ROP/GfUYLMxYit5bDTFJgqUfA6NkbjB9Kyrkw14KuoAeQAWp/N
z/7iQzD1POzv8L/Vt1E2W2XhVt76FpgKAPEVnZQm9kvcNv3bBCJTw6qNF1uIKVq7h7Btl3pUITa7
xO1GXUQ0ozKw/QEnCgldIhaFpoqH4MqXvd7ShB+HkHjhC2+a+acN+hGtNZTD6RxEPIkKNAbxesn2
Lgly1/jpXo77oNcSO2lCbr04WejF35NxrbY4fjUcSKZ0NHwYXZgdO9KpPedWLBQhKtULvO2xpBX6
zPV2UatCKXDObHkzdFl74NMmy0VYbG5TR5FEmvUeXEHea7wi6WIYVVT0DoimIqcNtOv1EGbzc2dj
kIXES/JVpejTCN1+OpmBlUDvvZ4dEfxr7Et7mOWIJXLHCstg19vwiqfcfQoAt/5soQNdey4m33Hq
6s006xzntJHLGUshygDuDSCc3XCqb2LK9ptZJFTm1LjxYGPrXUENY6jnlo9racOxKxWiVLcdyOIb
4cX9Z7SWaBfTVdGvfa8HqOso3J+UT7OhouF66ZeWimIFRADmcU3k26wyUY4yal5hKeG9smOHRq8T
j5Nt6FWjYzYA+Q+/IkRVgcBpi2iJYJ5Az6xhy5+HYbW42JDA8skR9tDt6fi0mW05hJ5kF9lS/3aI
BwLhQxsARMZO82Gf3HLauQoqSTpk6HggADn2iT32WL5e2MCaBRW+TXqciT+fteuHLwLbpWpdxXLE
q8ouihr/Ts49SXKsgGDotoA0pFi2BSzYtu0NoNa0xSq5WXfd+z4aA3TDX4NY0RPUVXYJ7PZj9u0P
PZNnDy1APvadfwr9dCupCKNDtKKEingyL1oydqaZzK76iHU/bMoRWnKi22+gbGFl4NhYv4OGqckV
4s2V1N1cuE2SH3MGfjeHt/ZzDuJ1/vb+EVMeJeuSPWxt1MZVElikSJ3t0NonYNj33Av3KJe+DYuo
wckJhC8Udy+x1hZ+oFu/dkROQwFcebndmvTOtkt8vaAGxzitpuyWbYaiM4TmYkHpnfQaLTnejjcP
R0nygMRRicZkqJNl38b3ErGVenefqYEOx+qMR2+ppustyLnwdcapnymW4Rz64nKCxyUqqEvhC1an
IiItMot9s8c3xN/WAnsZcE/jQEvlu+t24uqSJdoWzaLk933cILdxQ+pGotclGzDlUK1LUzQTSDZB
Dd4D4senGVtalkssVmsOKi5GLCfY6kQ7UgtvHkuuEzHnzATyZg7IhDCOTk8iDYCRodL5j5Lq5Buk
jD4rQQQCLiU9qHZ/fkAmuL3zA+iCYJhH9IAmvG4aUyw9nsM92QUrKBX7EXd8WQsXRDBd6YontkXu
yWavKwnTF2Q8k/Owa1kM1PmQZvlWxlh7zwZU2TW1Jikptiuv1k/6CxBuXmBzIKtgsytQJyVyDN1a
r7eVDgBiPbJXGUIA6IHQX92nO7pioIP2okG7fmPaYQEeG12EMWw0IOTTM0/i4Ykx4x4IYekL/HqB
lqhrOABAo8KKMg8Zr6T3wzKaFvpCSTdCgx2Dx2WfMvSzXVOgBZIn383zQYYhLfSq+2JWg52KaMKj
kkUb7+oVe8kay3QPJi711oIMcdOWWRsxbLd2+xllVC1of2PQlxniqC5vXLcgfITLUuyzkvwwd6l5
WHzqHUds7wWqKQUuZbagY4B/V3LfjXt/o4RozlTxpW6FHst1jZOrLZoUogH+dKDK9WVsZ/RA85iU
Ghnou24TdzMHu+xvTT7p4HMnki/ZmMV5LJKty7HjU1XSIhiK2FxSLPt4nZgmPiJD4D1IgZyUmkJ6
5vs6Xnfz8DS1WZD7o21/Kj/wH1MdRYgui+bUYQtSEWUfm2BFWrdJ1oeVr97RIAB9s2ElRUZ9qhAI
Mw8AvdgjqDlez4tODgGHygxBN7xep8jUcSKXg5kFQpMraj7V3sVjI6m3hp/sqNPaRHiM+nb5uaBb
+b47r0DydCvMDkpsixGHs3C+hk7ykxeIsVJ6Guq0naENNeki8ISHrHKIhD4txhwc/NhQTbjH8Loq
b5+/RTN3F7au4S01i45zDdRRAspcjhP0pzpqPHMQg0dULpeAVkF8qxD3yEEXS1voeDaHfk8lAhyw
lmXlqfFCNWgRSaqsn24ATJs3xIa/G0pYbcjmnwD04rfpmNwbTxdiTq4CtxyJRH8H0iu6aNXeQvsV
8A44MuX9vSCx97UFgYfShHY4WPkGOd/uFwhgz0MWQVbw0gLGQ4F4H8Q+gFSnUHcXNvUReolt/B4u
TVcMof7sHLvyfXQViOUJwXI/YDyHtx9gOSDxQcZogVzcndJgn2UuMsVlvkxwsrD1SC8x2QaEkdAg
J+Oe5gjbTxX1eQ+REu0EBh1tnyeaJRduh6gMRYKm3WwHhppbeilDLn7s4q9AjKPHBKFgU7E2aHW+
kiA5RHu/HMd9lxG0FtGeYwJyqw65H79p6xP2pcEP8HpqmaDvzfynMEoRq1lBL+fDbqsB760s0EtX
jtId0HMmIWXobr9vSNQ8KhmavDOZyGrEw07vUCKjKjirOOhgYNp13Y+IGXVfmrTBqpj2eKR054v+
iSAFDMsRMHv2hXUNCrEfh4jWq5Y0l6RDf1KwIfHXtyzrh/uMISiGmBAFZbgb+CMwaPurMbaucMO2
FYiLQxNNli43DOthAsz7vZ4Cx8wH3T30qx0ezRKh2qJuTHXYO2iaazMBJU26JH2T02i+7CKIvw/I
s+Q6ygzP1wz75hl9XRGIbTw4B3ydqt1fjn2M5X70cKvRDFp0i40EXUKJfoVQjGELwaphYS7pGeEw
aPgkzREwjVGtxpvEExv6X3Ub9sFp5vILYvugJJP1Nsb6jqEUtyFhl7lfyGPkr4DvIzax+xgbkms8
ce1bg6QGOmKVrzPzrtLd/67jzZRsD+RxtAr54GZXCEpkteXZZ8vsQ6y216iZtyXHi4s33oXqtCHj
xSgDcIyQ700GXrJINB50jrhEweLgHbLxzQPW7gkr5ACVrB8lr9AGoFNdSLSxfHSW/3CgNwsdhXOB
bc9pAk6IoHaDnimyHiiTBK6UzOb1MRPT8swMUOutCyFSj7G66QEweONwPYekqfwt9UufthApZtE0
r+gXuFeBSlNlOoTuZEW4fO78fuaFTvbt4haA64WNhx4b3w62sFqw6HLDUPLagkIv2HuWHXfPN6WH
VidA/eEIGYxT/KgQWMFGC/pp52Hig4j7txmjH+rdouJCW92uOxHrMmg297qn6Np4ASsLykaCh+U2
0fx1Xf3wnjm/YYd5CffPSO4NR4Pd8XWULcnrrpwP8Qu2HrZEDshsv2fe9TYiH56nKS4DeDDS13xm
zW0IaegbelN0Ia5vbjrLJggVuH64kqRN/aqJ/fEZLVxXzlrXwx4UK/e9S5QR+AWzHZ454g/ayPWA
aPXLMnOFK8ieYSDX0qfpcYSXVBmn58Lbd92WsY6hcfcEODYsRdSV7nkR6QhiRKIzsXjQkPv39M/J
dTdSpch6dHudBrqc1lFUybBiyYaQXzjaQYFvZYWZAJgQAtLG5FEg2SHbOaIBAjRMUkZx9zUwQSwB
Ncr1yNF/vnpTBm01idQp7gP1fUKeGBxUgAdk7XTT5Vxl9nGM/WArlL8Mx6EZ3pNSLr1KW8qfgy2Z
dW0g1iHTHDGH75Wq3E4Ju28RE1hSg52Fld0Zzgksh4CPx01nIy+1Z4TKI766B7d10xHg2YrRGC0N
jhjXMY7gLQzsBGDXrz2q4jckofxiAlzzmIC/hk68ye4SuwglLE7t3TLANrNBg0ZOBOSCmJJEy6RE
dNKBjaYiidfhZsU+5mz3hi2w0CRS7S3SRTNCnwIvOxjnqFwXXPKCBOZlmF2L/sPRqkusrlfq99jW
BackRRIhX9u4jmfsoHI0pcE1OjiRtxquoi2VcveT/D5jyMgPMWyk0KkhV8P7jnd1QfcAXk/chJlF
goWP/R0GrSRHvErhXQY56CVqg7SiGZIR1LoJ/R6mLwRuDop4EFsR9T3q1hQMV+CcImzLLPbOjVov
qLiYDYC93MGgStdJOMD3F/rdGVON/2mE3HBu4AKVcsjacurC5MG4rLse3sdS+FmaNjlUPSweQ7+F
pYlikrcrRsdg9M1aQkMKS69F3E8CMX/VXRs/YlYF7Bjp41FiIcbYRE48xEC1cgEfCph5OJc9iiwE
Kgy/8JQ3QE0Z9q6kQ8wfOy6H2szJ8kk1qHXCC2HorxPItnz3epwxJ6a1xTj5cJZYuswV5uV8w9ig
4C22tLvdg1mVsBMJZopQjEHpw7igaWYL5FoSXKlRFP0U7peWUCw5TFjcnVUo+oWs5A1Bwx/MpuE1
EtJ3eKCg1kNNKvi49Hct8bkpTY9AUblGLd9uMgfrGrH5dTa1QPFsi1bP9ojHWmH7GEIyXTltT37f
sedUefP+vhBZr8TkBKRPCK4skAGXXU3Wb45xyvW3gGGoCDT3Jg2XW0X4fpo8TLEZBmJ1saw98Jl2
6Zp7zDaRj3i6uk/DJP3XNQjHMklnVjESs0MjGnebTAKhztSgv0SkDLbz6HuvoC6X58EFEKYoV5DD
nU9PrQ4UZg4k7EfGHC1l4w1Vlrj9UWFazNXEJ37AajFWSarn87R5Ev2oZwPYL/6/umTEA8JJXUiP
7itg43iOd+Zj/km2IATdwTFxI90Pc2TdDYSW5eTagXwZGEtewhkbbWTf+BGjKhBYS9K23rq+O/hL
Uo2YpfKdYD7CqVuDxkfSaE3GovW7q8at2x2eyBFb6ki/icT238JshJbeMveYIje3ImlkIOrssI9B
MJRQjZGe7vHPASrJ084ahBpgbmBohmeX+dHf+HwTIbYa33h0sudl95GRiclqqhi91lF1LRx0N3h3
e9hSdJIJ94+Z346VTBYwKj5mXaRZnz41NgxuWimwEfFTiDZjsOJ9xqsn2QwTk7rxudUcCAkBQuVm
cU0EeU4n8iME2vnEJVEPwkTNgQhEbbCrFbaIuu7FI9re7oalT+E22AeC7HjZ9/crpNZDEPXmdRDJ
fBf74fZKmnapeoAol1Bg/IhJG/OKsvKaDGN4vZP3/cHKh5twwHymaZy9emQtv2ML8l9NbIfv1jbI
Rq6BV2huO7QqHqoDAKsjesMOySIZLG0B/CM+jemsauSp3RtnSu/5siM5yEOC/dgsMW8H4zj2S9/F
rJyiBLosImjlnKQOuUATFCp6RyMmQ1GamDxxmUD3STDPJkzNWa6NKNrE91/jbBSotfhWPFcd9+8h
tnYXi0lSB2i2PY6abgchveGERG54J1M1VzxDIJm0E70YxKHyfvq5Qq/BvCpwoI3ZamyjM53vYaRy
BF+9opn76agSqMYJZW+0bb+DUvpBobYWDC521/iHLQWipuakr6USP4ZkEHmWkHrq9JhzjHGSwx6V
LbdXTLOrNRUvm0HZ2VxabiOMIeLvHnzjtsIrWxg/Km2X+qfRysd99o8ghorUsy2ikdNYxCuSkjFc
oSVfNxhZ1EDu4bOXs4AcnafOYxgdTb9fRQrq944MzQOkrug4060/RAsDjywdRprD3e8/p5idcSAp
669p2g2PAfyvp3hCxyhcBymcC7/+X0542DfCukcUdGFfSNtG12iBvYOjbKiRSpqf/wXn/b9OjPz/
lwX59seR8H+afuf/4+y8P00m/Ne0vPff/y0BkqX/O3qPbGAAS5Rg3uT72LvfZuX9lgDxMzCZGQaD
Ihzy7wRImGLwBjoSZJQSbPnjDMjo/NusPIzeS8AMgLwOAD8m0MF+PQFCfpuUh9DBB6hxbjCBCxpO
cmz9MotvZ/t/RQn/ftx31PUPKPKvJkreD/M7yvr74T9gn/2/cxJIxWn9sCaY+fP0P0g8/Jm9/P34
H4IOSID8d24kC+LZ3UufZ+hfwz72cw92K6YNhWr574DVt7+Lx/zdyXzgcX+PxWxYJsOc/isSI/aE
fv5nVvbPAOvvJ/MhdvMhteH7a8QfVw8V4mqny7TVBFqLRnX7zxmLv7479B20/sPN/52Qt2OWbmfR
Gsir0QynrvrnM/ozsf3vM3ofLvnHD/g9u7EOc7qekz1sgkIOc9BexUPbB9e+GeA9qVlBU869MfLV
wZtaq4///Pl/83gkHz6fZwir9lilaz7OqnmAz6fMS6hc5p3RIWbpPVKvYXL65w/7EJX8/Ww/YOHy
3+kKwxjoi/8TqpADdPMh/y07YfaUXIkVYZnKYModxVLEaMAxG/h/zvz//g3er8MfbuhfBAtSrF7/
4WL+zeNPP5SgXwwS/N3R33/+x6/+FwGCCfqaKX7tynwoRJhZ+SvI/t99+Q9l6PdEwiKIc5W3oT0o
EXEX6S9+/Q+lJ/h3FGATEZr0PUm2KFcK7235S9cn+VB7Rh0m/r71KahCJAXYgmkKQI4o+/5Lh6cf
Dh/0yMWKGUMiJrGngNvxdxAsL5jRSX7+0vHTD5VsBiTorVtMQQL7HFn2iIDQ6IZZ/4fr//6M/8U6
ln4oJBli8KMJ9qYGEuv4Aft8aatx3X34uZgOmP3ix3yoIGEkGrpKktYAUwKo/YmYPPh3/rghqrGs
26+9yemHMqFgpDfhxmktg8E9DVAvb6c0yZ7++V783bX6UCfWYaM+6OwMYPHWVeOs0/CKRbtQn4aY
Ioj4z5/yN6/cxwRmS5kcaCpprcdoPyED5N1mzMfu/9cOH/65HImm2z1cnKTGmJpgy71+i94SzPyq
fu3wHwqGsanAwOYkqe2IO7CMjFeRIan8xW//oVyYLpx2mHW0jqBy4h7sFHDHDPrH/eIHfHifB2he
KoNJU2c+V9NJ+gC9Kt2nbr37pQv0vgn/43IAsyfEZKENOOncdi8YxDvfbR0DM/Jrh//woqW7xuw8
5HkgFkVLd1xcuGV5O7y7hb/2AR9esa3bFbRGWIXDzDACbOaBpXlvIv2fVuP3yvMXFeljhhBJYuZx
GOY1NGqwgz0LoV5x4mxyZkvDh2pjwT69jhjF+tlMbJ1+cZfz/vca/fHOjBtrUgB8KIUjHeW5JTPm
PuQOUmVXUUhisKQxhNpZTIVN4CoPm2NpmQDOEI/WWxLzixf4wwu6NwmGAg+kqXlKTBl2KxrzFFzW
P98+//1N+avLG/z5LGO7bB3gs6wOPafBUPiNXeAPOcwElhjWuN9i+Jf4KUm0YgKqo1N881+cnVuT
nii89T+RVQqIeutzsM/pTjrTSW6sSSYjHvCAoOKn3+tJvVVvmp2e3sVtaobHRv6AsNZvbZSSHiK9
NG2+pC2J43ce5Y2Jjju1nPZNDH50zYoxKWd64Hv2c9w2UFz/+y99o/nYKTQTKZ42DTw0FyH41xjL
z8McwlTh1/pl9P62q5soLnyDIMmKuMOXDE5aUgmKe63s/M4weKMMLokpv//ADKFMTDb4xLRdS3Kd
MqXC7xuOusHlJQLk7742I0RVMBpVP0Z5OZz3+8ucAqdr3+EtK17wtJQ4bJ/ILHNrWOA5xcbOMvr/
HZNmiqPT/9Us+dZrd6qYl1nYN9O2F7PBVebeQyDJ1di8M0m81bpTnDwCMWDDd1bRkBqqQY3rmBJX
PZ6DyqlNfIgMaVQPsNjhuzHHXcdLX7H3dnpvPbpTbhEfe/Ciq72oEqvvje3hlugmETWe48ZZOUVj
9Eih3yqCUmbX0LS1x5KmrPAalb9gCr/VGwUSaNQtWtclIE8rTS7+0Og9M+8bfcOcak57AgZOgtca
aMjToVhbckjNmN9E57qqG5yph2uJMIgpqrvznPWXS2q2n/+7Zy5l84cJnTn12pex2HekSBRrEP+E
eRuGBRjux77Qa8I9/wKnZCmupvqmLdeCQsH+MQMF8BSxoX3Hav9W71/+/bd3CwcwZevO12JgMb9O
s9gcIYf2nG6YU7KRll2Z7o0pQDxnt3Unk3sg2Dwf3alYrKTwyEVUF3CLlBEkSgQqOLHBGfXfL/et
rnGKNi6ruYWqGTLXvt5ucGiu70xZdp5F5ZQsiDvBEplGn5Wp1vkTXcO0+wBLAYRPXo9PnTUY3PwF
1HjwV+Dl3Q/tGH+1kM68M/Df6BuXnxI3Aazbabmcpk5EOb1AdacsM56P7qy/dGwYKZt0Qc8HXxU8
z5BGbqXfa6VOzbYwKgbBzP/fozNwR6CygOPJr9fdao3TEjCbaDllKw6NyaX12b9jLq/jt2ptwwXO
J8iVT1uTAWUEyknOgTL0fHanWgWL0wEuarTOyM8JzP9zVVeeh00XpNarR0cyclpXaDzbDQjLgN7h
04hvfnuDX9zv3zpm0xQ8a4v4g1iXcDxEIDNGY6n9ltdfBJzfWpdiRGoCDB+nHooMKD/qnwZ36n69
Tpw6nYEKHgeBO2jZCiBbWfw1WGbi2bizuCKLREHQBMIdlAk9REE1DM+QrHiN9V+okd+6ZZqzDS4a
Y3ARjfQJ3kBlbBRJPFt36hTmOVAtwCw6AU0Y3QNkSh8Bduz8rqhc3MtmGJwYaLmAqgialb0HUOcY
XODkfmPmF03rt84hoOdKgP4WZC3IXsHuM8bFuBL9w6/vnVqNamCIh01iZQXa8SZr5ug4t3D3+LVO
XherUeVIYSc2hc7ot6ghT3D6Pvk17ayq22wbaW2gi1oED5gev1oCsZtf286amtW1TKI+0UWzCoAW
Rfw8AKXm90Ijp077FrEsWWpMEdS43u8ayN/IFPo9+S+U3e+jJaTrCMkezJPd9k9toxcSy3cwlG8s
1ZGzmKb1CrlQE9gCzc7INyAzBNh2ppXf1Bs5dQp2ArR/8K0XiFcMvzCNeSCfQYfz22lEzoJqpo6E
XTmYQg5qPw5b8l3UIGN4DRiX5gUT5ZQstYI43wLcKuWIR2/fu3l9q+OdEs1gOa9HZIYVSMbL7tO5
iu67oBxf/B7dKVGiiVYanLoCWBSRU7l+SZAY5de2U6M7A1m5BOG6UDFkr1G6fe2m1O8M9tc9528j
na1sAwYGbUNJ9syMvQeQ4x2Q4hsdHjoVCooEdJ20Ag+hDAL4Icq7eofT1qtPQmclhUoQqVQBCU48
vOQ5JF9TkHr9ppbQKVE4lhbM5uiTTvRPQ4VsNik8H9upTgY0Pt1w6I0gKvCfV3LLYr8VNHQKc7Sx
5sOIbzsuq7t02Ipele/Ayt56kZd//22M1J3ehDF46FF+3iGTbZK//F6iU5JdBuTN3uIlIjfiu9qy
p3TnfvNU6NSjAb1ysyukbRbRZ8+71aQAy2A++j24U5G0L7e+qTNdwG8KFGTfXmVl9sWvbWfVbLt6
BugwDE5gX13y64DiygCE92kcvrbXrxIDe5q6EEuyqPkG5AsLjlkGsa1f605RpvOSwIe6BKeJf1LD
McX9sl/DTkUCnj8xoLh0AXYBjCcUJqFo4s9+jTs1CUhQZW1fzgjGGK/WDtftE22010gB2fp1hytj
wjbo0HgKOhc144+aWeXZK05dZiy2IHqBF64kfYzR9mYW37ad0oygzKcU0SjFTmh4Z4CFuAH0g3v2
ilOdArrkDvtZDJQYWlFknH3uuPDaYLHMqc0tM2wFE0YXgKvoBh6Ikg9Hgh1Q7TW1gHf4+pWOq2Ql
VBS6qBjySNflBZcPn72GoivWgl8gRFwc+sWYCpQBAxsSmLmJ1z4CB0KvH1yJJcF59IYH37ZHM4Q3
24JARr8ndyoUiQshSwSdi7Sl9x0Q1jBDJcSvx11ytKkUNJdm0UU4dk9Afh0aJbw2KcwVPKlLqlVF
5VwQEv+yDqlDxJp//TrFKVCLG4U5lXqGAoB/rebtpk7iT35NO/W5KV22KQkUtMjdmndDMsHy3vhJ
F1jq1OcQr30GtocqcIUEBxHiZxKKXDO/R3cK1IwEUXLRqooB+hSQiIwKbgFdsR/9mnfKE45wzIrM
4I0u9p8ZO7htTr97Ne0qkDQWHjHC6V6A7v9xGwHNltJvHLriI2AdWt50TBU7aFKnZa3IMej6H37P
7RRnvcPfqLZ2LhB7dWiZfZDpe9vOyzr2v69cgNV/PaesAc6DlzFRBXT4sQGVlDf3IEtt+doQYw9+
z+8sonELRicSQBUYo/RbJ9hLMLbPfk07JbqBYtzxpFSo/wVY6xmArmhhfld1LHGqtCIirhUleHAW
vcgFwA3Y4/7ye3KnRsU2jYiKEXMBLzFbYTU3QFT0aSdav0U6ceqUiQqJe2mHIbmBCyDJcz35fYsz
N+MAfuwJH8xourTZkw7rDyXlXtdQ8Li8HpBwPZVyWqwqaClJEaREP0XVWnuJb0G/f906gmnDGJg1
PHi429yqqYAh3E/RxbhTpnIrA3jWhUIy2QgO0JLAEoRUN6/h4mLhtWLGIBcL/WLD28WS2y7e/GrI
lSlla9XBfVepIilh9kpgQMpgSfR8bqdAM4yScCOtKqJheaTRdKdC7fncTnWqGrcTfEU+IQJ2X+pI
PXXt5PURxy5hIb9/Mpcbk201Nqrg6Jk8gy48n6xM/eZDVy6kKbI0G1AScG8jpoMi7RNQ2H5bUFck
DDyrsH0cTggQpUAsrDioOJkw4H4d40qRmiaDbKyxqBv4oAEo5PxjV4e73xuNnfJcmpiXEMNNxZ4p
cohm9oCV1O/2nLkyJBP0IIFuA4bLkDHwgeBbbWfY5LKl9TrDwQ3/61ED/SwwO1uPvq/Emhx6HJ4V
Zckmv3sEBJu8bt+2YP8BfTgWKWCD02FZR/mvyZLV86Mxdmo1kiRkaxaMhRJ2PkoQehEtKOKz1wwW
O+WaJNuWhksIg3OH/LkQNvcDxdev3zxzyVv+vWJ1B238DAJdMTMw9JH/Tdq/kVcHWpjf0zur6VYr
rtYNfQO0CrAYWn7eushvzYudLS8oYCu4lgb93iPWws7hfAaMQFx5PbmrNwJRldoR6LmiKeP9JRwA
5GRJCkOyX/NOzSIuZIyRdzwWCHGY5nNiEAeRIwsNRnG/H3CWVVzGtUM/Luh5Oq/X6oKJnDq/s3nm
So6SFpB0rhUQmkx/qqv5aW31J7/ndqoVBOqVdl01FUmffUPYRYSgR/ae+PVSkn/Yt1+Crn4f7hOO
zFOYhseCqib9luBS4cq0cvEcMk6pAqK12R35oAUqFY5XSF8ADgmSk1/HOKWqYKjWY4fW48UacMPH
GwTivlNKv7agf+oYp06REAh5XUqGYuEg3oGH0TeYbJIaCKIK6PD2So52/WTk3F3DSR/wQgtg4p9h
cUumR5z/zeoTcqb5VYt7yeGqaWHDzpMO5I6HaptSRM/srJnUZ/AhEDQU2qkHRE+IYAIQY0FIURTj
rB1EXQNoTYfIOXvguKXers0UpE1BEgDqrkvk+Vjw4XGa8CWAsteeI9rMyZEmG9oE8RnB5BWQ5zPc
dsjJOktCtv04L5L237aEsfJRMx4gWTmKQbtOQSZYCrXh7z2Oeo9PTYgo9UOfkKg9cAsey1UVDVV2
x9MeVq1LVO0n5GKvgHtwdT3Ws9qLcMhAG1hlB1D9oliFJPBkBRsU2YULO1Rg4yAjcckyC5JSTZNc
DrWKbuF+brJroDA06P7o7fUQ03a53vdAPqh+CdmRhQicBM1OlfunLmqG5IvXCHLVL1Nfa+jbswEg
awPyOWnuxF75uVaQUfK6tEL8aTFoMcjmRWbAhQC8NsU2heACeD08c2Z7uTHDWwM8OwffA7Qb5PFW
NPObLF2ZGmWlxS64G0Fnlz9L1n4CzN2z052JfsE10tYRPHdsymLOuhuge/xONqkzxccLZDUAgo0F
yRDkWwYIBsu6aPDsE2dbphABzFvcOBYVAUwRAeb/8kb57VipM8k3CygpfRICIWwNwqrXrb4Cykn6
zcPUmeUFr0PTEz4XFfBydwybb/gKjP7qNRDdvB8FlMyyjMtQtGkFICe4gLiJ6MEr9WveGedRX0d7
QPFSeSXj7UTm3iD6OIjb6ej1A67USyNDowyEHgpcVP0LYDrob7Of5YIRZ7CPZlXLZJOhECEAjbme
k6070Kwh//o9uzPil3ja6QLeJnC/2Z7myTABjIrTDqCl/H7AGfQrkG9RuFXYICD2MjfJCkR3jUg8
v9adYT8mawnGHJZw3NEA72YifhiDNSz8WneGPRDYFmT+foATFWQcThcQjPgEZrffDEyc7Q3IJRWE
TANmst4kNwLYjm/4prV+R8GEvF4/kk1O4GRiv4qjrO26ZKUpklAnnoPeWZ0ALTJgoWKCb2pZHeZ1
qnKjkQvu1/NuzaoImGF8JxeB7elPAbX5z10a6af8RMzY664BeK9vRNMiX5MnS3DdZn10CEvwSd+5
O3zD3s9c4Rf8oGXJu7Qv9i6i6nls6wVJZklPxuOK+KtnOMIegiDrmiN2cS0YjBk+Rs+A1INH7dWD
rj4MRloemgb7z9VOIgWzr0EmqxQ9soH8fsApbB7SHd8sl5mp1FF5K+sKjnA7WQAC/X7Aqe09NAqW
VAKMJI3qNt/WZmUIB2dgxPn9gFPeHCkQqif4AWsIZMu7eYF6/4df205pd1panZm9L0bVz4etov/u
OvZ9cKeyK3AP57lNZIG97bkj7Q0h8zvfLZe//Q+fLb88jr9pdGSAfNcVBJFCs2U+tAHDVQNIfn6d
4lS1Fp2qLgn2RWlUejKCVLlEcozfeHF1YmsCblKPN4oQvC34LpuV/lABlhuvZ3eFYnPDesDWgbTF
duUhWfbbbqreYbm80eeuTqzacM/I1dAX80bETdSp9IK3Xf0WsdCp07XlNSIFqCyQZQdkbpOm041I
DDL1/DrGKVOWbQNFYp8sEODRHKYsvWpZZP1K1I1yV2NfAfdW90XGxHo3K8kOiW6Wp/9+9Msj/mGw
h06RZivQu2uE9b3b2YRdczhX2akLI2RMASA+9P/+98/8+f1SV7sDIEeJEADVFbtKvuND/V4m4sWv
aWcKA/4VV4OwY8EhOCBYZJrN8nOlk99NElh3r9fJGnvlXpQ9grbGtMTpzpxeg1JuvEqKAnb16uxo
II3ZdoWHLyuBb/yIAOzZbn7TAZjKr1sHBDGx8YzDjmjVkQUaE5e/oEf2zeL1sQgGwOsfSBfg/7GN
6IpIcHsEnT18HGCe8porcQD9unXLa3yRI6PiWEUVAlaaMAofCBlj4/X0CKl/3X5qeZlyWg1FaKge
c4wiBHC1QYjACJ+hieyU1z8gg3qelqzGhBkTQKHDj1VUeg0cFjo9DySJTkOFZ8eRb3ysFe6XdoPs
BZ8Hp662sccMGbSQqp6iRJUfFxuMn3oR+1nsgHp73S1d3UcmJDPQozhkfxoljQtdx6lXp9PM+Zwb
ceQVInIRBSsuMTxT+hQg1cKzY5yVxFjEMyPwu4NsBVyxAxyx01fEtAFh/t8d/+uw4n/Px8iOfN03
nFFQh7nBbMYBH/+AxO3eXNXtMqkzPsQMOYOlx+fjFHfbcBdYfBXcjUkzya8EOHwAcsl+nbDAxsAY
lwb4Axu07QfZxxs5yGmy9WGvRLl/H0pbm3M/Ys09mLjZfiDAkd0uY6NvbC2WMy0NQnZ2QCoQCCZr
tj+LCP6Wp/YCknju63RE+oBJEBIbSrUeRAjl50MDNPl+xH891/eUlMPy47875Y3FI3XeKHSNE7kY
kk9VGTUPC4Ka7khNKr8FlrqSOMSuxgNOR9uCbOFPTqanLKoe/Z7c2RjgW9PKgK9tQXfobDvCrskw
v0e6uIy5Pw0VZ+EzJpDVPm9tMY2AaSAHcUdmTmahegDfd8mqa55xYNz9/hJnGYwmBPswQNCLYAz4
ibUIj9rHrvrs17ozEwtbGnwj0rZYBiaOQbm/6Ia810+Xzv5TPzmzcBRWtWmVQSJMZ+pPUFWzD6mo
tr+3JgreOYN56yec2RixtklFxqk9zRtt+VHoSU11vigctoP+C0fbOx/Vb7xyVzUHeUJlFt6Bk1zr
tj2beIugDgu6Uy33FJEBi+e1E3VFdJXA2UmpOnRaTwII3fgLJiLPPVXiFHQA4AgOAhDyEeE6TtP1
rGn08b9H0htvwhXRJRRazh0e3EuuVqKvs26Oz0Oa4d6fV0sXeqkLaHL59d8+EWO0zes6CYDpmJMv
8LpXX7Ip8bO2UpfVNdtsqmurmiJJYn2G5jpF+HTk97FCXSHdUuMokppIFDVL2XlcrAT7vfb6jqOJ
U8ghH6OuS7ryGC31TVjSnA3cs8+dMrY07OZBo+l9Z6cym86yJsV/D5o3FhhXQ2dBKqvnrC2PbU1u
kzi4nbjfKR51NXSQFV5AuHV5HJt1umnmWRdBTD95PbcroSuRhLFYGmCwR9V8GkfFcuRos7Nf606V
hlmryjgM6iKp5/EWqteXqbJ+cFjqaugqnlTBQoDQ7izpzibTSEmYOj8pKnVldIHdcG8oVV3UTYPw
UpHeBYmaT3794qy7WxMiQpgO2VFLVm9nQtbPo2pbv0NFyp2VVgyZnjrWZ0dkWT8A9180avBbxF0p
nRXbVskKG6lOmzrvTR+CbR+/M/O+UUSukm6BOn+Hww9FNC9Ih8rUYeQgCvv1ubPA7oD0zIsea7iW
pD30AMuDfa76zE+QBiD16wk9kxaeixYxlykbEEuWIpbsFqHetZ8PkrpqOsP7sk8mmh2RCYJrzyeo
AN7pmV+O3j9sb1wtHeN7BDhVJYrIBnS5DWsZw2BUAbb5DFLSUNSIyaV5Mi0SaXw4XVsPCL6KFyAs
R27Pk8nC6bSPUUX+lklMlqJMaZ14ncBT5qyTXabpTtN4PtXJps4xkvIO+LD0u1ejrvCGIjZi71ok
aNBVCqgs9DMslds7/frGcHYBP2adgMlJ7HyySbTnLbKzD8hrevYazoy8Hm5xa3hAp2U+7RKIhlXb
f0Ml/PxDSMp93XiwI2u17CjCuaCYP2arEIeQwL7l9+huJUL6XNYLJtNkJN+RU/dJCuJnqaSuYkJI
fLEPIzOnOlTIPx9JeSpLSGe8ntyVhG7BFAECoy/HSUpX1zUNkRQv5nbuj34/4Iz2vq41TyOBzAQl
OFZL25j+IGIe0R9+P3AZq79tO5Vuzb6UozmZAWlIMmXrccyY17UHdTWh+H6I6UilOUUXCN0aT8AG
sMRL7E9dSeiYLGwuNRpfDNje3YzoiqEjfoJTGjsjngkDNINBHB1pIsRuthHy7Pruu1+nOwN+aFPE
ltJSnxYiEE0cIL5o2ljot8lyFaEVhM8hC6g+DZB55UOrqocO4Tl/eT27S6BDdP1II47wrSDDFRxr
9+pU29ivY1wAXa3WaIAqQJ9ANCWPvdza7zzcE789uasG3WOxTtpgikS2W3cA2Rx4Ila+h+C5lOQf
Fk2X8tVF7UTaAbk2vES036MwspaIbyEd8sLUiFXQq/9dMRXSdEoWNZjQYpIGx4XE1aHfjJ+Yirq8
r1EgHVNztF5VPdKnoKRC5qD9x+/RncmsbfAGoGdUp3Eb7aGWU3OcZek317hiqmxkoZZxrE5I9l7O
EsFoOQjDu99k44qprMTnxq6QjqgFYqWjuf28R03s+UqdpXsXEnFgOOs5jSnSl2W3IUisVn6yf9zq
v57h+8QmOkFe9ilA0vqh2cce8bbWj9wEB/Tr1kvGOhU1fDzVehKHPZbIYAda3m/5czVgJrI4clZV
em6afn/ew3H7q0ECn9/q7arASookRAOx8ilWEfwolzl+JNF7Z4SXFfQP84EL/ELCDY6rbZadGRKZ
syX4MXT9s1chkctZ3m+LdovQ3RKRFskZnK+yy5cdAj8ttvmLX/NOnUbdQIc9VNk5HmUPDWuzcXHH
o65P/WrVxX2Nc2qwcRqRgzxHeZORmy70XPxc8RdAXJNGmmh2lgxb4YseovcTJFJX+YUAhboUyZSd
9wv6qF0jdmAiXXO/TnfKtAk7oXc7sCMoXFe9Gh9D7kcTpMSp0TCGqIhKyY4c8oemD+5YXz95PfX/
knwBIyQU7dmRcCOjgo0dfNdileazX/vO3RWS/KamM4htZUO0gXHOZnZzseq9xxO8HDz9oUhdPVcd
tCNL15KfkTM3X+lyWeTDnIRVdYJPNSmvK7mv4l7v5f/h4/rX18GfftQp38SSsl+aqcOXwrb22yHq
6o6Mp7ZF1XVnUW5tl0+DXLGE9XTC2r41VvWIbO9GLuQZH9ZNKxFh2y72WpQ2KP+mdIXsrg8haW1z
2th9XXN88IzTHVKI0/F+mcs14tdbwJIJAcF7VwV1HtKsRpC60smIj6KB49XlcTYN1d+jEtJEOWuT
Wl7TvQXu+WjxQZ9URzstqzq0ljbbJyDk1qXO41bCw5P3tt7mPo8yE3CGaGiw29uraGyRYJhLnFlq
mcNX0Bk84JwM/eeRSOwdm6RJ/5WjxD8rM7HlyCH3pblBD7WHZVlJXezWbEhdakM6938POLRNTL4p
5FWveYyIRvG1r1mb/ZCVsRLBtXYflMxB+2ossmxFejXu0m55D2jUfFjXeo7aYwLjZHnacWVDTgGi
cudDmWKkZYeFrzaWR7LscXgbpQtHaHRs9kvk9oSge2D8+0PCx4XfN6Gp02NY05UeRMIn7MJSmR5T
CQBuvk0Vn3roN5tBVEed4RMLkZXxslUDnmzqVZKnhCfwjSx1UbIE20bMJVyaG7ytQSDDOsXOLs+i
ANGviEwn3yYt+XG1+5b8MPVu6XlUAzLVd0VS/peYSJI8IM+b0ru9FKmpjt0Ojwo7Z6uJQETYeWK6
ezg0Uryvsa5HPFwV7lllziGoxtiNyXDY2yvL6bZ+n1JZI2waOaCIRU7gQMqekXAMGCEiRlmfnCpk
ReOMoTNdvwZwsewQbYGgk5jFnCze5TBckxgHaUh/bfsUmaq8zc68Ff0BafOrVPiAtcG8XHaWy3wb
mrk9rQpz1AMfKtM8bxup+hTDYSCIUafxvB2GSiCYHecOtjvijEOkX1NN++E223YcAok4NBsiw0eN
w/w8S+OEYAelNUXQJqJVafMUtSky5gFYabfbnqwRTrVDDbbajmtmvVTwbiH0nSNIVXBA1sLOfCdd
AM+MWhI2fkpiGaVHUc5x8x3nIOklVlOyAbnBTTzMD61BjOoz5FmTvKS+wyaUDeEQ3+xxgOTZSKzt
/k/ddwixPDIVDOxhQtGKUz8KS65HGTXTiwhkGhJMb23F4zyRLBsfQo000e+sKcsUEd1VJqtiXZcl
vgkVwtC/NCu38QHM+xBu9GqlUQa0c8y7H6Veq7ZCkG2bfo8pn8YXuMt3ccDtEtYuWCUGew9V35zi
fx4C9mNo1LJfSzJa+9zuYRQdRoFK+tEwDPOrqiX7g87C6hySKW0+pMok/BSm9Sg+Tq3Y9scVHgmC
aEsCbkB6vJCI+fW86r7/t8XNjbht+ERtMQxNVxYTySJ1a6YsIYeGUUa+ppyw7J9obcsHWMiDG1wj
7T/gDpHI5ERMZgVAUHDc6j1dbxDysOxXgAfRL11Ws+w4dnA6PiVWdP1DVJV1dL0OtbGnYBLNdpVZ
FfIi4VsbvoS8bMuPArnc42G0OgATsQmzGT4UyRHkt+xzrO7ncNfhNR352H1GskY5fDBxlohzKNoh
OeqtWTB3rnGqxBn66UjdI+qZ/+jABOgPJU5p1g9iC5FUXYphW088HrSqjiFuq5bbtgHg+FwiPBsO
lSBZqmeRzhlDxOc48lyXgeLfhcia8VD1c6ubPO2jMkQ4EKPb9dzJWR818keDo557EuV9t6/jV6oz
PMExDqsIOMMNT1EH1azyZgvm/tRfkDw5gHZ7+zCtMKad4lGt30hoV47Es6oHlxNREPwe26XqZ4kS
Tg5NJ4g8cLnGw4udkM8IwJGUQJ7ltN33+nrVcMk+W+TTISFeTDrZMN/v44ok+UZjmV5znHgv84/V
LDT+CxkZCgsCMrez7GOHVi4vctRGnRDiiJvOU78SGefwfvZx0WVR1iJauKKdzatIp/vtuiEetMs3
RD9lV2FpsUeEk02I63mwQ5Dvqq6DTzxuFTkKxk1wnMMlyo6J3ffmLxXutLla9L5mhZFDUB4R4Fra
O4rkuccwQtz0J5wiE9vmddfp7AxqfKVvLoHn8sHiFCI9s7bGeqfLMp6g82Ziu5NV2LSHYVeRPrBR
JQF8C2ou6xXuuX2OPuqwlTBj9Ezrx3oLE3I14Mq4eRhAuquR8m0ZEm7AFc+nVWXRdUSzWX+I5yno
/yb1lnZ3vKMzxlgvZCf+oV26YyRIINvm01Cl9XLGX7Y1p1i2bP7M20WUN3NVN/QaJlre3RtFEIp1
wnTUIbvcBLT8uQOVDKb5LJr4ah7qqoK2GSYmjJEUHKUb0Wg7Xo2NpNAME2iIw9M8IvUwX7TtySf8
ZvrXEgm9fesAjYcnPSNiYIcJ+MXqEGB+Kg9bOW6fGsI1vUqzEV6XuO8hVpWLSoODHY1mWKuHdYOB
ZEmiAy4UUvGIx43jD9tqq/oq6Alib/O6bAPzLOU+9DeQ7oodu6J+335g1Zj7FozUMIyeLjc1NDxQ
MSX7/R5mTM6YiXdbXqcNXj1AsxyJYHcrJuTpA9IvZnUdapHpq03zLL6s3JsAE6BCN85zrjNUeQhe
XbUjBneqV2ufaLZ1WY6ksZSfEyYxv+UtXRv1IdRROv2NIPqRNXmnly2+tkjY3h4YRr/40swbMmLw
R9Kh/NDiaHz9mLboxJudNGo79tTE+grrfzBW6Fwil9O6J8laYfOkhx0vU1XLeVnbQH5OIqvl44I+
W26mBgq8D81Sixph5sgL/7KNCYm/SpLYVOYghIX9iJ6iXfVPD2Zq+AhqPcv+HkBeab9N3dQSfF8B
iEgPsiFNciWRDm6xfxMItx7yKTAWS2G3YfnAbg/IWB7ES3KcAWkYLGSjSfAdVHnLDiEW9eZ6N1P7
nBiM71Mbrh0/1NuO+xeZ9OwlJtBFHKhNy+aAb1GWnKwdElOQLon5ktMtlNPDKCYBy3EEfOd5zJpu
uKdyXIMu53Bg/d0Mk97OcVSz5UPUhwr8XdyzZs8s7VdxXjok5TxORNAv6YyUl+PMShwFpHWg+YPt
xzI5h6pZyQfcP9H+Y9cm834bNf00YMJkqA3I4iFUS4sWEFV1X8ouG7dDylj1aKF8CQ4br+Xycd7X
CYZo+F7JegDGsGwPSRbV44d2xhlTLmTVTSdq4avtzrCoRae0pH1/VGFJ8CZq0UX3zIyiA+N7vmx+
Uqh9RXXI0iUmR2mmMDJ5u2/2pUk7UJPyXcL49zzC3Eb/qmY+3KneYMd1EFUTHKIGVDh7wOy+5MnK
qX4hBtiDq4qvI9b7ZAuxTacw8I76Et4c6OsajxA+maHXyYHEfDq2Vpi+aDeU+tc4VOtyJknbRUgm
UUCeRaym6ZF2UGLmM432c4bFaNW5istmfjCQTmX9QXKZdHftXNoPqb0EoO5qp7dzmrbhKUWCzYZl
FFuOo9oZpv21W4LquuV9rJ9NV0bLx16Z6IBj6Yl8s125LodyFewK27X4ZFu4aAbcuuVqa8SV0CPA
Ggy+aiy2SEnfdTbmA8KQ+FGrkFxV2A+8rDKhtxVQSjLnWTPNCEAnvAKzdUS2/cAafpOulf2Hwf3T
3BOUjiz2Zt6z+ykg6jFcgXjFJxDVdxVPyY69U8TU4xIgt37XSJbnsJHf4wgdZm3kiVLQyOHkvbcq
JZ+HNahOLWl4m0u56dul7bIP1fo/1H3Jlt02lu2v5PK46AIJonurnAOSt7/RN2omXCEpxJ4EAYLd
1799ZVelFWVbLz17K3MiR8RtSAI4Z5/dwEE/qfAYx2x2UxzkabEPw1CdHc+WY+bP9cclG8sHRWsT
F4Tf1cw0T6xUrYoyoi1oJ66uqj6aSaEmG2Wodpftgni3Zc/HIHvm/qyPQ7lIleBx5nGzunXetqZk
xwX0xfBp8qR4yOoJrIUkGFrh7dNGjFMdpXhyJWTyS06+FEO6DE+Mcb5EY9HMElROf5yWpLj4ARzq
ZV5hmyKNv2gk6/a9DdDHFLQrk4yPvncc/RCCZsinJ3I0uZ+qa+vNdtgiPX4hzyuvAx6rJRyHkws1
yz6icm36DRsCL9jrQhfhuZyRax+5DPH20eRrI5+pqzW56amjegObhqWFJYHl+aHzRlV/8HJkCZcx
WwpWJMSW+RA5VqAUVYMTRWxq1ChTlFKP0jpa2OKKz7NktD+PczeunxBKNaEcygfJ8HTXWFtMRyUE
Q+UGLjppsDOyLsq72Ufvv+nakDbbQWDfSdDRZOLQX+h3m140Ab2BqKZkJ/BnqZ/4ambq4EM2NX8t
oA9obpwdpCbxorIxP9reUsIjGIpITKTWMqiXO7TGIkAXDMrmerK2ttgX8lZM/pVusCQfKjSr04eK
VeoQIm8bDXIziQ++pZX3scFMC23y3DGkFAKEzmM8HSiWotSN2N2tcXMyNpmR7zg0/cOznLC3v7e2
V0GZMNF7OK/SlnnjA5/Wcs4iLwgEjYYhNU2sUloH13aV8/I1hNy//mIKqNk2skTU3/1S57OC4QDr
zK10+Hjzph3h7rpThRd0txyrDDsioaaX2J7yWQAszFvI9/clJfm0p1VekSYJV4MSIKo55xls4Dv0
H6j4EPC+jPpSiyDGZZjuysGYbNqpKqvMc229btx2pTeog7XKMdyxVU0m6YN6Hj9WikGLxPNK2Y/D
VPXjVmek8WJVOf9U9FnK4x6zx+G8lGWY4ZaIAmJAC5Q9NnrsUZT2HHYyz24NlYQRQJ+euyzod1M6
y/ueBsuA6oCtq75Z6rqODPI0I4jCMkeRLybLbrtMki1xhghSd1ipRYOWKyciO0ydp6PBDZO9E/4k
8q8jok3kZq0IyRM+Xc7VKLPImNinKLPPBay58NRRv6HHtESm6UlnS/dOIWXeJHQYQr+OSIEp87Ot
19JDlboQbzeveK53qAN8cRxwBJQv00SLHVoAX33oYHEu8pipjBT3emR5Dktov+GFi/CQMRpL7KoL
ujkPwrlV5H5xLcuJrLHBgn+qfNZs6rTgLZZa6o4dAYJxBbyCslvZzrw6TqNRn4DEvEfpMQQckSoc
FPAOGTHBfRtk6Uf4WZRFkjXYFIvSVFfDQFCZrTAYmQ61kHms1wWBI2DQk30hDK2v+oHa+sqkzp6c
1l35ImA68er1lbXJ7DzcxnAWz5ULL8OdSuJsn8PpmaOWGJJs7VGrg9c0zFE9iWYLsbLiUamnDLUB
aAsjwu7kDLwWO6EFvjOU1xMI/YhIlBekB8Jv81yhGIsCBgb6AVC6smfay967pQIkPpCCRJuNh5Fn
2VDjpriFWCi607LYzITKUmxKyYu7rEc2/MaHUKD/Oo9BNcZeDuTqI+wOkCBrmLThps2DJcCjWQQP
pkA/slva0kZBiQ1UR6MzSLHLApd/lqyxwTOdXD7GS2N9dDsirMc5KkdZex+Kwk8/yUtpspczVOZP
C9evQ1UPIcpd1fsoZpuwcnuFTBAZK26a145hyUYSkR0xYkFIuKlVKL+BfxVdcREWuYG/ZRqilUGo
+nYOxCTe68xT0B8XKgUy6KkGzkhWw4ojQVHSTEfGu+5zXc/Uxz4X5mX7DKc2VcaBySe6L4dw+YLW
OVtPpg7S1yavV8UQyb2MwbnJp7B/8lLC2auPyAz2Ba1lDmSkzNhZdabC3kHyJQ4yv59ujUqFhtQI
s6Uw4xm5LTzOgWaj9CAnNsFQdKtGw4NkHlZCNyMf7RjVjZsf4Insh++0UeOd54X2nUyF/4Rx+7Du
uhR6i73XoTGe62YeNzyUMPRdy1G/wzWvTq1fgdbGS24pPE7C7tDlSvUx020zRdpLq/dQ6s5Rz6CT
0Tqc+MnM2rsVfJqvuFpzue1SWIxsarbMux6xEjtf1+QQIscYe15L7XOuMrbc6KyDengc4fcTsd6l
w8PkYPH6ER4caM7sMoX5e0DDVER8XHAdgqkssS0o6tMOFYeA/liS4SmfOYpECighy1BllMyDPaxY
vcSABs82TGbATSYkniOnRJi12AWa6GfYr5fVfSA7iMBnJDDcF/ggES1GX7sY2/YyTJEBNkZvdJWL
MKYaH+ep69Kp25Z9WuZxEAo9fbpwXQ9dWzfNaRZirfEelWfvKz+c6huaiQkF21LQrZTa6/agUIrp
DlB0u8E20bZbw1hpkyAfax90OSS3brqJYBOBD8wR9wJwRKpZp9FuTyAtj8sy3FsvL8e4Zc6vj543
NusO9mPrF48hNimqEQ15ytZuxvJJJS5HNZFNpUIX9/0wHWnno+DMi/a06Jzdg73cQyEAf0fgHDBq
oKFI33sr6ORbCYXM8gScaR5xEFnifxmkyQKBDJxqBTxga6fbQ4sJRfExX3vbxLhTELzLKkdljh2z
Hps471MN/3KYF6krWKRJEauJa3eYu7CXO4HcbGSXpiOXReQx2B5uJ0Uvi9ArxyxDumKPjgmbT5WU
q1XTYYAoQ0VBNw81ljHmXa8OZ2d60GYgWTLCUZuAidkEof/chajQknFSJo9FOHJofQa+VM8Fh9NL
QuA3X7yvAWiEUdO6PH8i84rdI/M87h+58BsWNyqog6QDGjbGXTsC2oqgy5uzpISOi9yEujfyDoEg
xRgtcIHWG7ekrIuWYA1RwSjtD589g1SFiEHqoe6QZTOKXb7oSXzm+FLTO4sClZ+Z9WsRh7Wogts6
mwhMkzWagrywTXO/QMBfbYPSkmaJGMT2IwDMvF0zNOoDIAc81DOKQuSapz3CqJVNr/KOFOvBD8nc
XikNnDbimk7wS9e5eSWMFvl1sKYtqCApqdq9k6MX3EKiJjjWlKHrhPlPu+gt8hsnswW5SDcxpirM
fWqnxnoISFwHefBqwCnvSd1c7hBH45P4RukSuj80YM21A35YxdBXDNZF8BzygxPhAUNzyQav3Rfg
WYyfpmBRNkk5T4fdhP16SgzTutrUlMo+CZBIM1RRb5ol36IbrNUpDWG/BvJlfYkHQ1pal5R5oeZj
OhAhY+hEMsUSODEQLKgibTDPxii0y458nOmKmmXQ4R4gQYdpfY/aLgIO61cRtHlrmfR4DOptODu/
fxUFq2oPvYMfDhRJ9DAx+aqrpoaeq8KEbMBh2qBODGOvNmrHAx0s86HyJZXP8IxuhvOE1n7W+OJF
WIaoQWba3TBR1PM7D99GeVHuD7Rz24ubNRrSUa5jeO0uHfQp9bpqRvEFviwMppY0y26WxrdoVoyj
HAs8rIBZiRizFoZuldhGtZ+LBd016FSLaMirGUavRzEgGBqmboDcdkRaTWeOVnVO3jBsHhlKRVmu
X6oc04iPZTl11TbMwtabcHU1bRGWzE1xF6Lcx1oOlAjZVqM06l9zHbJJRoOv4NY8idDJRx/4XIH4
F+D/wydlQlc9a8913m2XYeBzN14aVTgWLLIOYjH28DWGbE6b+pA3mHvhIQk13RqBxodvkKPo+hNE
qRmb4hUzpA6dbmFEIRLC+CBPk8Yk6YzqWvIzyqLQPrR1WZmjyOjUHTyHMPOPlJCUxPxSs21d13gu
qkUweeeOwODpznPWFdjjYEMfK1TG7WZxjTTXhR0gdGkYEePjWoNFFktiMeQpaN3CYsZk3vBZcqvT
RzpZbP4t8g3KcT16K/K1UbLC17A+TDqjC+opZFDHvpgHt1+6VtG9Aco+7eqKr+QZqCJjx6LCJDDW
pAEBYAPpJjEywbO5Atu6IGretjdB4GLKm9KLsOauuLZLiFkjgz3GlvigVvfbwvMx7+EtRjxLVCNi
TUZLP2uWmFywcD/MTq17Hc4eaWHpFkxOAdPLkJXWOeWXZ+Yba5+Zhav6q8hC15xR2BZiW7PcqYdp
wmgmqTNZZlAngpx6W7RtzU9pVrfVwyRxYU5LICt7JA6ROlcjPmuAyPFlZbelE012nEujqic0ekU6
xsShWu6TspMNYOsQHm0FiR0Ws/ZieH/wRSeYAwqpthWowRcLY/EBDobE+rFSMMBsNg1GQdYdUIAZ
XNhBlNrc4pxuATyDjINRGmo3tTxQXHaIqxTLq/UJ05N03o5YyVu1ruKMJpp7p8BLFQo7TuBeF1zG
eDLYkZJzvatK0bPzWncQufrB0g0fpsIpmFZUDtYh2yHT85JH/sSZwIwzAOmK9FaOMQewYT82Iyzr
bzvYLthge7F69YFpzAzp69Ksaixj1UxTlSyNuSTKDZZfM5OG7SGEuHza9612NMnGRbfnwMKnBhAp
wby1W4xw2wIgvh951ve9LWaUQ5HUMlNoO3VvNSok2hT0ZRaIeT+la1bO97BkCAdg73lq1i+0ZTT7
pKuO1AdCIXU8EKC+/RUE2mZ4rGFJjdqmZeF89kPPLl+XnpX6vCyZZwHwzYGMV4VyJAK+7DBbKawF
2a8fwitHGjvFw4Lg0IPBRygTtwZBFYMbzzEzD8MLo3GUWwUy6XU9Ihn4iUxVZq/MsPrtUSD2br3c
bZFC66CGBdHtVoTlJ8B8Hk1KJj1tYdaKfia2LZ72ZoPKusIBiY300uZPRk83yjMjjRfP8w0Wi+wN
5BKaXa6g0oCrUEkYpm6sGGsPyu5CFF/c5Xz8IhyU6rA3YNmh79TiRwT7Xf1AjQkGrL2MNf0QaWkh
9AfEhKAokZOCJDRgHug1NOvT6yAXw7TFNgovxLFui/F1KGc9n7tVNOydmR0P0bz0pTsui1jnd1I0
ery5eDjSvW1cGjUwu+kjVKPZBSzX84gzFwPMW7ksShxtDqXBNQYlDTwYUBuvgLb6CqgVQ3BlyIYX
CFd7GUFYFEybmesKqJ3p83vQJHxURCNCme9LMBtxLiJjA96NapSpehaaKJB7W4J51rhrU9N3Q1RA
7xdGnQSPgMaYfRv3CiApA3gLwIYML0Ar1sKL+IDytYwYdtkBGGLdQe0RwaQefed2hjwU4UDtHPL8
AxTWizORmxBi0++acWBFGU89/MNRhxI+Mz8xNAeVI/kPawbY83pM7jCpokNMwAiykSeHPo1hlEyf
KP7aO41TnumDyi/Yb4b2e9aXPTNMb7rAmg3QgtWB1+ql3uE/UjeTebFhvYdR9zwnhJedi9YlZzcY
WLUu4SnE33+PwfQ2fI4vYdt0ra03RL0vw0c+/j0+89vcOVbTEeMavC4t7iVAi4L9TQmNT7/n0XUw
PFRpIcQWxyQBiKRGcmWxW9sfaHj/xLAKI4Pv3wBQWDCAkYbJhIf11+ddMZyayetgI2iNBuAUjCVi
AYTqg9vZArpFg1V6JO68GffprylUF1bRH7GN3hDLMoxo5sIzYtshzbROCugIrkAe7GPUaxg/YhYn
f2B+8Wdkqjc8M9NbPGrgFG9hCNCLh2HpUpfoDHVuMuFkgjspHElqVKXz0v7gCv8JyfKtO1EJfhhO
k4BtuUQmxwDbmU0PrPkHX+jPXv0N+0wj0c+KXDEwR5pPlfGfJ6nTv0c+JZeL+DsOJ8r0vtFZyrYL
Yj+i3CyHwtX0b774G4bZ4PtD2znOtsCgNxikFlHqA3n86wfqz67KG3poOo/FwFTBtxnxLM70MY38
HKf/33v1y7v+7roElaZgB+G6BGsDb95BIWVy7R7++sX/5Al9a03Ejd9Mei7xuORCBV8sMKUpJnwJ
kCskg0ZH2oGNvYeuhOm/Fc9H3zrC5DKbBGyE2BZxqOxd2Bt7XfqAV//6C33bXP9gdb/1gxHlQgEL
ZeG2kSoHAq3aZcJwBf97XfyBP4eovPFf2tBv+a7Q5WO5Fo8+njS2T23hcvQqWb5BOuOXeaSIbo4G
gZLs10/3n5/n/5O9dre/fg77z//Cvz93Gs1+lg9v/vnPx67B///r8jf/8zvf/8U/d6/d9Uvzat/+
0nd/g9f97X2Tl+Hlu39sUJcPy517Ncv9q3X18O318Qkvv/n/+sN/vH57lcdFv/7y08uXpmgTND2m
+Dz89NuPDl9++QnswsuYBOvqP3//Jr/9xuVb/PLT9Uv2Ur+0X/74715f7PDLT4r9HASgu4gQdJCA
Mx789I/p9dtP6M+UBjxUSHBTTJALb79F+Gn+y08B/1kFDKMJBXIUCb6pFG3nvv2I/QxpJlegTWHY
h5cUP/335/vuNv3rtv2jdc1tV7SDxQur79e4kIRJ4AyAbQMlJYep9PercZU2ICNCiA8A75ZNK14y
jFKiAuZA13m4IDO0dixpwVroQPRMIEIENELm+mVGQMNVKUHvRr7TDsEPbZTr6balQx6FrXzKwkYl
wA3EDHwZszzMgeMJJoR3o2GIEAwoDEe0qx9sjsF8qYzZyzz8UMI8L7D8arHrEElWbHKB/NxhTJGw
MUe8beiGVKkBAzZ9mjHqB3+P1xFK0HNDF/4iCr/ejZXa2A6Di0qq9apu1iYeJnBT63opo7G0e+fJ
aTvB4RPAvNyiQ/YzUB0bCnDkwt7yRYLEMy/p1HTXY4yNO/hlAiCItIYzSLObxQb30MueOqOzGGr0
GDTGr+A0zEcMZsoVwyS57oLcPGAcEdx0RdNtxxXBA7MonsB7ibg3nR3DxVSDpucSDMkYCbDXYTvs
eg+9T6v7K8qcRWPeNbtiHj4DeFmv02erKLbKvlbbvHfH0M/ra6Btz5wtSd27TR2Cu9uEPTa69its
CNdE8RLW5H4ySw7ybvkIdtwh102QGBBTkhGtIQlRPntrufcWd+cFbNxk1s5PIKCyAxXNRrtgToqq
24Dog0sj+mzfYHj9AL/A+5yOn1K2CIy7wno7A/mIy64Jbxgs7QGArZjYYqwQo7cqd3II07hmkh0C
tS6PtOnuadWHaDFp6JKyyZcHxBqveQSvA70bvDK7mfmVatgTJSVAvZK3t5NBjO0wjlegCNyA/5dU
FX+X1ct1XYLeOrg5RNC1OWfGHjwgh2TN3k3ZZE5zscHouMCtstfGDF+r9gGuATqB9TPdM6FrQMhL
uRn8TTijf79k8vUKIHGK4QPkIv31MpJzxSbgn6KNpATs3y+H2ZKntHkOamRt6bwB841f3rs89MSL
DIbeT0FhQMBbRhaB1x7YbQuiU9zIyd/1KQHA4b+A+VicVl99rUt1BQJeFJLmCIjzlg4yHtsSSoHg
3qy5/2EE+4RERVdsQqfkg+Lttk3THq+7CHByGuPdrDllt/60DttCwaijBfntsw57dxpMVQyxXRi/
rXuqjzS1y6kMjXxhaKFg/ttmJ89X8gDGozuAB1a/K4GejEiHscU5D3JyyGGCul+EyR7B4gGAgb3m
QDuyfFgq28VLP3W3OWx+D0K09UfYPYmHNSzWuCYVLOx1y08579RJX0oKoKiwbvH97OC8db4ClNA8
rkMxP6L1dbBrQ5ZjYxa77ccLn8doZV5A2hdJ7+cjqFiKXSkW6nM1yunOdy29Zv7qjgMx/gcfQoKN
yLp5O3eKn/qaVweD4u5mNV3+SgF6hpFtFvNFNxUmPN2Iq766qbgqtZrOLK2HUw2WuA9e9EhupZzJ
/UThp+CngX9uqi5/WnCzQApl5oxHRZwpLJPP4AnjONWm8GPkOYidD57stcIXhKMPzjIwLsmPamFY
PH9X6stQKgVmqMApIDkoqm/7mqrC3ITaNTvILKuvdWi68VDa0V73F6qSS8mcaB8SgSXwXQLu7ZpM
8FrYYKiebcLBPWGA5m1ruvRYBaXFDosRZMKygqBuUuDbhEX2YUhdOuOZy9gtfCrL00Caa5GC+Q+W
8XqrOYzjQlClr5bsQpfu8yeWzl1kkMGwtzOGIqMP16p8YY/G5Hnk3NTccAeYLZkWlz7qaQq8nWJL
v8ZWrH2b5C1eOAqmXOmYC73s2jVPXWyBqs07AmZXuRkxpfvg+XlfgCSedRsGbOWJCrDFbQAWAGYF
Wy+Q9054O0QMtDFKp0S3Fxb1IFAFgDa5K5r27NEMCHnjg23i6L2eh3OuzUNqgK7rjgwRuH9Hry7m
eG3TYoO5MhQNnltjmHAj9yFvTnYNx1NqurMosPzhu4MGwmbAuQuwnp1ZNg2DjVw/8exzPrLp2I5T
uPXA90InyNl1t5RA/JVfb0Velfd6BYSkXYZ5wjqJnQKkH7sVPD4ks3JynjQT58WV9lwwT105RvKn
nGTBGX0XzD6YIvedz8ltXtEAIGIBfg7u9XyGUVtxBUBDXflAzaYIvBH7RYCbE0Yw+MlfmxrI7GyA
G5rLSlkua0ZeVk9wWUfusqLAY3FHyFXodeW1853ui/4ckhbnc27Haz3hqGxBkH2BYMdijqxCu60u
KxhwlDuSy6pORdU+jpeVznycPnqEcVN/2QeKy46AgQs/6bCDEKRvL89BLx/kZQ8pLrvJetlX1ssO
E172GnbZdYbL/rNedqLisicBTSGHSvrFuc04tqx5MM07I1d3ADKkDhpM+RN8SzBRhMr+payD5aRT
Tx8Jr8QtyEfYGBV++4QChH8GKpvv5pKD8aQLfovf9m4cdB4xCPUh3Ne5AAUIWA9A5tTIGV2LQoVS
KR9fWypQ7oCIi3LaigL5tAkM1ngT+xk1yx7k4ma8bqGEiQmDDR9oGcquSXAhGu39SaXlsV1tpt9h
BgFpS8AqPcBzk1bDvsvMmJ2DmmRz1NkiBNA0SMgwANej6odjmGojknnwiJd5vmTwcoM0ZdOsbMV5
zdhKYhPyBtEibQmjfRAxbig8dK4k8No7ENX9ba2o3Zgy9EGMNKyK6Zo2ZNfzvK43nvHlFKfIOoPK
XKef6Mj7Cc5PNcKBjFjhPuoa+KPFI1isNaYeI3m/ggcOXl/e+thbwM5ReMT83j8bOgT31dDjurT9
nUiXNV4xkdkQu8ASMWj3lkmyRazv0zCe+Up7GPeRK+Dk+ioE4TGCB0Mao0aF2MQUKRJhMEz3EV8Y
aUR2JU2npwhTXbAbxvKjrhSwynL67ENdhcgTzDjUEtympJ+uuwFrFNlVnwrxqe49dYRWq8B+swTJ
OOAYoF0Pt2xBdiLv7pBufA9NjUrmWt766ZTu80ZwBNEYsoGWSZwGPvN9DYpYXBQg+EjvHsRXnHmF
T88ezv8NWfVnWFBBRJN5MBG+MO9AnrjFcQ59sS6+snAC3R0ODRESo9ZTWWEcP0/d8OxLsmAE2y9f
VefjGXQgEdAYACL4chBHiN+sYH7rpL5rDf6nO/sbHdxV8dl0tvs6vG3hvuv6/j/q8yj3L632nzd5
79Cs/SN6bdHq/b7P++3vfmvyyM8E7BGCHk/4cEC7WAP82uRJ9rMMFOWALX14gwBr/VeTJ35G5yeI
IoIpyLcugvb/bvL8nxmcXwMpMNGFmgleL/9Gk/c9LijABJcwCeYKDho+fMPeOn7B2jPra1QSiIVz
1bYnpYrGjBcJKyqMONvlB1jat+LjX0jFt/eD9hm0EHSXOO3fBuSUwZzC9VehFKpshtCWqnyFEggj
Ur/VmxnW0UmTrraPHH4LZ9wyShWVOXPPq0nreBoD+lQhkHdMfnfbfnvAf9/r+t8XTb9+rkASGRIW
BOi40Yn/HnhSFttnCWkpQNn644AzGZWRh+yOle2DITwqtXa7rqZmm2KEneTLFTPu3zP/+/UzUJ8F
hASwcAnYm89QXUhdc+nkThdzv0tBuT7i9Ooe//qr/sEdD8NAMilgZauoeoMOgu01lvlayh3t2J5V
0zsZimI/FbVGUWKnH1xYPKf6zf1mKFEp7jgLQjxI31/XiyiFzGC0I0FO8O0s5zoqkTL9g3e5gI5v
3kVhRYDwwAme4eAN9hykFZhiLBU7lgPG66sL5lW7+7EpPv/bFw9HNveFwveRnL95I+atuKKXxzeF
JCVqvPLrVKwY4NP2lpbVD0DDP7hTCuUXZQpGVwTDpO+vHVqSrhM2FLuOhiSuIdqJcnALE+i26hi1
yA9Q9G+OB2+vYgCKBgXsBF/gt1bBBQbqqxGZANQQQpA7duo8iZTc1zDjPnQNwotxPCNRY5iC/dqB
COuTJv0E2RKcVNq5x8BNIsK2bcYEnqUAK1DOoFqnsk5Qa6y3QwClQiLzVvUHV7YFWtMGgURGr/kY
dVM/xYg48xPHSihGMIq+M01j7v76/v3ROldA3AIVEOzF/+t5vFThExp+sctAxzyAJycP6MIJ6hP2
BF3fVpepPbQm+4oqWG/CoAoepyyUP7jUf/S8gjESoEYQ4Bu9tdExJaZl6CnVrq5deJjD4roFrBf5
JOc/ANL/9zupiyEkDcC8YbjWb9ZfrnM7qRI8Z5HChGl2EtLarvlocxJsfnBp+Td/mO8fIEUCmKZf
QEkqfv3579D7vvGpJwIrdiFEoZtq9Iq9wY5/G2DSec89PAhBPzxm1dxsSod5eTJI0kM92aJAq7p5
2isLHcYihHKInmf8wRUje2FjL/cTh8Ywhh5+eVB2CM/DMHanKm+KXWvypYm078p5W0uQTHvwlyBZ
Eu5A1AIBOOSBW2XaZef1tk+M6YMNZZDg4RcJ6nKWdSzdTUPQo3bz0ysHudwNEBj4sNjc8k02zij/
hEQQNmnKl6UHHgo3ZFSnNZgli2Ie0IJeHCr0ke8LuoY3aF6L/WpDG4PjWkNVbyBKQXrNlV8uiaoG
Co61bg6X/PHYNohC62anH8PA6PeBa/ULbO+RVpH3bYAWGdNf5EvCHa0dl22r2npfkKF88IjubyRp
JIQjoGAmlZlXg+qQ9u8xP0+vDDgPoJiC6Tk2vfzMJ4v+OyX0Q+WV71pMPqER9jp+AvH+hipDr0WT
JwjC20NH1Ozb0acaO0AW3Pu+hNqb5lyeSEjtzQq6cpQNPd/Z3lRg7A8aNsEKMoManTeGNa4+jh0E
kBF2qeWsHEhqEdyWGpe4IHUixrAeJp39NL6iZMI1mWh7zkHrg3+X8697SC5xyWjgQEcAZ9e37fiM
yD64bjZMWw6TRqKeUbYtA8SGaniSdRMenCMjxuq9FxvOwnM/8mbT9SS1UZFdhnb9iqM/qjK/gfS3
hsoiAUZU7INMmW0rcb8DO+LyjZ5lLymvpiTDvcUmNPoA1TRjHzAbWU4YGoUfaI7pfSRJld+MWQ8G
HYJA8D7SEWiqsXnM2DnDxQBhbib1PFk21M9QqLSQEJDyMygl+A4iZXjiQYaxDwifrxDHm096k6PE
Ad/VxLUfiq8rWFRlBJuBFjLigabASQMNBLms3HIOqqY/rnzgXVJA84gllJEIvTjfBSsKnAj7QfOJ
U4ZYHxhoeokKTX8wqhERzUANH4EBXfH1/7J3HktyI2nWfaFBmcOhtxAhM1IrcgNLZpLQyqHx9P+J
qv7Hatg2Uzb7WXRblXWTkRkRcP/EveciEEf/l3jYs7VNBfhXIffWMZb2JTlYRjOl/lLr/LzprIzG
T93BzoJKMgXyNS3bbiTiyHHSiT5h6nVOhrp6Mup5CIps3eFUTJ+l8BZ643bY9fxsB1bfCDW7wTu4
lqj4fJcKd9HC9+NKs8AdW474LptEf50M1zkzgfrZEIMZZSPgVZV23Xcv9mydAtXojuhcFONyAkAL
OWEh1Tdr3msu22aor7z7wi0u7ohFMEWtdExrAmBy00p8o8+qD4IO8tu81ueDa6j4CxW8FfvYtOeH
iSkjE3MxEa5oiEOewcKe1ynds5M3aP5S9TlZ1fAgvX49eMjD9qof3ahDq75DO6/5lfR2y0SBiJgW
GRJ67WhxYN+rkV3/1J5gKLrnHoXJgJNrplHoE5cuOn5J1sk8d0pP7rSCCHim0d5HRpzEi9ysISqT
xLB8FauRqlzFB4kvh4ZzwIZgZTwKrpagp8N1YbcUx5W00nPSTu+uq/qT24gC/t66+vM4jgcY4vVl
YOCOxY0corCBoIGUROUsS7QyD8wxb8KFjaJvWNttb3RpNOXO9iQ7p7+0W5H9WDJOXKFddXexnu27
rljuYbTOxxxVGcYBwbyn2LwXuzO3CHmaFtYIfy6Jl7+P+DP2TV8tAZHCfZDY93FZPQpRlEdgjfZx
Ho3CjwtsZ9s07XHiajuicOaf9YzfxC+QoG48a5r+vnidcTHL/gKDpg/dNk+ChXA5FOmrflMOhpn4
tpuWzK+cIrTKZt41cBX8Xh9oKHS7xcaopse4R0S6U6YD0GKA0wof59di9z4OLOuZImnbj13a+VbD
o2zrYq/rthXNc4PNsx4e2kzdGHm9+o6utcHGCU4keP1B1g2UC35zQ2EwT6B+dCYGld7pwzSDNb1I
XJDGOBtY88f4sSZdInLihMG7a14gS9Sh52qbvxj2spvnsfsee8jYnVVvAnvd7m2rA4k11/bsA9Sw
32vMV6z5k3XndIChWA1BQwiuSlbKKqyxL9Rly4OsM+NQ2ka8V9lcBjqHzW1W4TzRGXQ8EWlufVMe
9p6wwBPDu2FX9sJx3uWLr18ZPKHTNbGIEHsXuCUa3hHWzZtzX1rg9LitNvU2par/geEP5WnneOwL
knxdIOLVVR0M/fZrlVlNChP+ydkZPyoUhkf+us0f3KXfsXQwAx0CTdiv5SNnf4g6Tb/lISQxPu/j
QBpe8U0KozvhM0p8fdw2BLczHtcySXdZVqyosLE7Fqx11BYvd05pvk4SrVriaS8GIdkBY6bu3taw
DPVbjJm/SPXa8WO2DowEr5pcx+yepC2eHHJWDg1iHN/DVHIY+iI/XZVUh6obx+OI8+EKrCEM3rb4
UkydlPukYYDMkaJFserxlbeyvMHKLe/HtszCWqT1t8aFStWZVhRra36uFafFgiD5FxdSFuX1XB42
1M0vGLl1aA6LNf9U5WYhRxN1Feaq3/wNfgE1o7XuNM1tDm7ZVEeEiL8aKZvTMsf6EySQbqfEep+p
qTihQ7WCxjOW0UczOb1ioEp+WVuhIgzG613nruKIRjreabWnHjerTHYw+b6U1423eq0lu5IR4okY
Y6bcRT4Wh2USyx5N8hqMccderBIPHUvSoDdS1J7utOy22DIzPzGT+pRbfBPcRQoWjSgmF5lvu2bJ
irO5Zl7pQ+/M5mBhqhXgNms+5SLLc1zLYtjVA+8IG0pijGpYCVhPXRZp9rkwx/dVLc1laZbbpWz6
L6tqxxv02i0Q1nIJ6A1vSZnqIy/u+w+jt619JbrpWFnrvmi01zpeEdaOW5tEHQTlE9O5PEpbHA3J
aBP73i/DrQcfaC+4BA9Lm5xqlKovJk50wAyuDGFuqK+unjdu7qtgQrJ3C5oxmcNWcjYXjU2SGQlb
D1dnSwCexfbdSmosCUTZhAwypvslVW+YXQe/0UZWaFMZVOscNYhoQrDUbVTi6VTNgh9karb95A1T
UEr061vrXOQGG0US9vlAYW8pP8lj2EwxXAF2etKvFmxYuZbtWqfGLSc+azs7jLM+HMtxVbg0e3kw
Ggdejz5xCxsLAunM2valhuPPc3Z9YzlQK9cVTlCruSevYVgtwTcfjPIZfkEVdmOhh7RQYd0lhO4W
SxEhwU0iO83jfUo20d7g9eEyWJ8DwON34raRjxIXLebVjrZ8Owxt94LF0vX7aT0N2vjq5hJg5nUl
Palv3sAo1Ei1TzdrXqVRXOrMfkombqis0u/KxfmZFD/V7E57Ig1G7JHJ82CPuGu79nTdhWSWftEI
1g4AEvU3pdJw1Hs6iwmv2Mez4X426IN3CaATbqmgdttpDyWnetuML0Zx5c6VHZyKOa+CsmtLf0SN
xAfYZ88jRH9OsfpFbe6r3eX8p/tg7v0db+5NqpffTCTv574yVTCWKt/VFZsY6R2sqnqe3fxbLTtW
DmYZWH19S2YxP7sEa2630xyNaHj8IYegIrWR+EqL+QVUp2Ndz91utsvHnKeK7Wv6g7HDEUhVqLmd
hZdX94dumsIuT+ODrUsY3JjK7tbW6X8OZekxNLOORaxVJy+zICDF87av5vhHYTg05rT7z8N1z35t
8nlkNcv+TBk876qeXPC4snbKE+VpLUoRSEz711LK7iLTWJ0gLd0xRBOch67uKd+r64s01YI+eaFW
aWOP5n429xrZxvt+zgq6eo0ahl8YEAW5kxLVL/CFOtwaPm/61safNecJoNedaczM3KX6jqtr1w/U
+bVN9VkVkjz5mDMf3VwA+fwx3YwLWo83QBu3lY1st1743BO2PszoS3VM063l0q9frrCnAHW0L5e8
fc/1qQl1lPOsL384mvlml2IIWAMriCU9H5rCvCGN8X7FvfW6MAzFXW6VBzUn+sHcZBO1cbr6SM7z
j2wah33KAocjpclPDhYGhAAEjHXVTG3rqO8kU01707b5TUU++1U+3VkM7iFJGE20GeX4C4KRcZc1
C9WdbZS7VYhmp3nLEEIhuNT0LLuc/udEIDvF0dWgBMZADTQYVut27ymK4T15cuOeEctTxyZgF7f4
FKfk1qU8vEM2PYKA2ZhleDE6ek9ic8wX+uZMV93tJkXtq2wpdsKmOXZr9WZAao1G1xA7RAqCTcvg
sdy0l2ep1bQudUstqWaxSxqn+Vz4pU6OcsrQXvhI2Si3B5lq4577Vty2HfqApCnqU9Ud6nXLI7tu
5EWs0O+SHj5DYbjmK+tl+9VdrJ/xostQynrap6Uh3kpSyQ+1nmtPbTupHxiFkvsBAfaFTU8b5Iah
7dshnfZLtSAfwvh1izCmikzGOKGTIocTHZYVdid4lan7eudFsEzUxmQwMI9kfA17ZnwB1J1K+GOK
Ja/HiQKHofy2dpSKCROvT2L06ijr9DVIFaXQQIu893LLYFadUyvBgTvAerNAM9j2qVVgNsZtDWmY
7Kjk8d3h3RjJCc6NaM4t3F1VstxnwsqpFov25JC3Eda9/ZAyiMJRxSe+AQ09yMnScQA6sgCENe6R
dmcXc1HqCCgyqr152Xk86PRSFakCeTZFeaaoKy2junhXh0tel5jAC30OJ4hwx3ab1H5cpL2vysE6
8zprNGZFut/g8x/iYnZZT3kxM5emC42Map4G7GnupfG9qHM9sJfha/GM+V0vku81Bs9Lh8Dqrcy2
L9px9ejNHcSTRAHNyPAW7fRCTWdN9C9SWm+8bH+qlXeErmZGfUo53JvrGqiYkZtcevhSolM48oTG
bKhWvRFVmCIPXqXpTB0zVmpuzdcHkPvOSps42dH0mW/IsPSQr2D7NuVc03GBet+tRxCAKSCZYEUV
9MCsAtKgNnuB8tL2Iy9SA4trJu5l1xlRSnzF6qPnV/eF9H50ZXUFVY3XtGsDGJwJ0WeON3g2nmMw
YBodICi1uqkbYplsbymO01IzEu1iO+o01FiaBoQLuikEB0fPTmu6olOzVAPtT29mVrbb97k3xSHZ
kvU9bRSW9TxXTDjsH84CaCO1vDXAjpdEGI3au9KImwBnQHaDuT5nS2nkR75+D8S1tToW4qQ7kLuT
3iSIgaKtabKznKasxMvHRPVcLmPp+OZoTA9rLsyvKZ87iVGrWPfT7AAcNMhyfNdRvheROTuLFakx
zX41fMkcZOgrzpc0GdbnrfIcB7GOpuLI1ZYBil2hynfMP2OkrTOd3jZsz0Im5r7F+/Gi1sIM2Zo8
5WTOHZSnis8KLdIO5NQSusSFREgECEXsW+slLupzMUy3bqWrU4nBjkUydwfParlBHaigTzguzmfT
2bBQwpZI0aeWzSsvpF6qsm7ewdsYd3pT3UK8KXZ53eJuSj321voMRjEnc/dby2r0NFiVjPCkNmuI
Zyw+6FY8vcyYPJ6KeOqes8IwLwLcSDRrpvAF0CN/1XKm7H3ZlmAsPQCDg5ONYbfFG8i2VedMrAT3
rwZFqiKcpJoCfM4auRTXHbGZalcG4RjvOkxleHu6axZQwWXgO7hVsF11fbnT4rn9gI4oretnAluJ
8+cWIx4SV5AdlR/TTO5H3mr3hvs7LXaZVI+x1XN6FY+oNqu9N6VLYDG/ZNMtkgsO1Xsz0a2QSc4U
4Dmy/W3Sbhm4OyC25qCfYg5e9gg7DdMQYkRMCODowjaDPYdLJ/A0vE7aUoBKmbyuuFhJ3sES7F+d
LsvTEBWJRoPQ2h/AiOQBH40M8B4P0YxckV3ZMCJ+FDHPf5Xvq5Rct6Vr+amG9H1m5Y52AR6Zphdi
z+jja+uJr6uXafObbX4d1/TQzcO8Z1Krg3GMxX0vseiS9oggbtQKqNiOeaiHGk1eWnQnw80e7QFG
P4qsU4yXSYOUhKAR1GQVMdUZL06fyx8L5uw4rPKqgpUEInUPSgjZXSza4Ww6ivx2x9LAcijhftn5
BC9ule0b44/2oXb74TEhufnd9YAf8s7TFzO62+mTcu6o5ebA7sBTgy370079c0ivspNNX+6sLdli
rFRl/IMZLBU+8/L2XBvJAI+HM0/4U+9gPRmLWoN/mXRtjnfcG1AgmkJfIqHHmwAZsrB2rKw65cw0
Wu+Fu3RENwVKCNQaSimGuA3WtuPgrS3yqkqwUnWhYG6NU10Gq8hfCnuKIwT63U0PNiqMxXXjEmfa
9xX55VJmRPekAPz6ce4frbk191WrizvGIg5/dY/YN4HmGFiOszBEp5b1gm4BwwIQgGP6GtTBpmcJ
alWHVgu4Ky5LKIVgLbCKRXRAcdCq9te4qZd6WLyXGuIt126y5ihD6x4Ah769V/XytvXkQppDIXfp
lIVaX4DOagcopGuWnZKGmRALnWNSZtorhtQs9DJml4zdiyBLt+zUxsg8qtTcDcRVB11i5QdXeDSz
k4k0uAdSfKSCnWrAPJW97QRI3xTFDMgPRjszkCvlAtsz+3lMfFdLx81nq6LdNr2xNrh3KuY4TDTS
J7RR1pmiD8RpbjfRkKXtEwJ89FzOYGN0bKueLTUDDzsmPVUO95g2TeBqaMmfRdJ2B1UkNJGKbqUJ
cZqpkwawGXqXWJdd4fbK7xLGmmJ27Hd+r21H3CPmz260mldjmwbj2rGUiFUQfDDx7IyvVWL4CvCN
AcT0MAcGTBbbF3e9HpbFdB0hF0Zs/DLtAsjfTArrHvJUyfXGvOTNWgrnfVhT54aNVHMpkQg8svh0
jrY0jBdhJUkb2haoBapqEzbVUPbet2l1GwoZraqPghtO8N0WGeM0m6HdaFU8W/nUgN1GdqT/NAEr
vaBKFa+xyNtfhVMj/R28vrqrOyFZMWBC35C7mcVXp1niGC/wzQSbkaesIi4nLFKt595p7O+rYzp3
VpuXP0pni5mY4gofYSi8gzqc6I6RyH3kJBOd2srk3+vZYwxRajRMwVIpcLNtYz15DZiXACGy/tG3
iTzgop0qHyCTfV8IUI6B2/XJPcZoZruptrvCvF5F7w2/mlo2ryyR4rcqqZAZ8uxHWs87j4ipLo42
leRhrbPtLV7hAdaJ5NFcs3j4JpVmfzAFNr+X+KOCqd2QEBgZ8IKeEn4zJoc8ClM/tZpJDHfV5FHl
rMsviWk30Jjb4E80Uab2rgmCoKuNV82q0qOxiPWi5tn7lusYTYXTN75Y3exkM2a22WMM7a5tVPyx
MWThAWjK7ptbD/Fpo9amqN5KtS8oANF2Vn26Sybrmcur/jnBskDQqcSeZYOG+dZSSUSZl8PH175n
jHsaLMEcyPxTHE56gqI+KfJbdBwDMFC2EpHRtPALHRduwZIw77Iy+Nbwl6v2ae0hX/rFimmXlooh
pCn7/CKHuTya8+oelzgdTpnZtF8wD1kMNvqARCvXnXLzQSGUz/AvhAiHomouHBguYmP8bPewa1Wz
p01eZDDJji66IbGqiuqsLKiz8TV86rmaHxhYz/c4NrsnKIfNT2gr5aUWdXHaxtj+5ZmWe4mHtr1J
TAcxudQn45c1Ds3PQhaz6WtTM36rkZ6850r1DohAR9mhm3VI/qC0mLGP19YGKWN7YcqC9Lm3OiIF
XMhdGVrYXjxqajBfE6eqvupEveoeU9G6pyLB7IwezylhxTFx74p7dMfrR9V7xEEoZqcj9RS4RofR
+3boB8Z6ljf1FXTnhTd5bCcKDM1uN3HK086skBbrgn3DEme3ePwstLtsXTkjwCrvDLw7Z+gHygkL
5hW7GWoJvXU9QdeRLpeN7AsW0a2ricvUmRBe+UrIWzE6DOwcNMuBRdDex6jauAhR078TS9/mYeV0
6XGqVPOY8kFBT4V39AKFDLUr4Efni9LInHyCq9fPPIGhEZQlIcOHK2GPQgqjN7Dlec77faxzZwLJ
7hc7cLza/j6iPE39lpL/nMTG/ILzlpvNs+d9smlM7bVa906Js/5QCo08m+N58WmteU6okfgNWCbo
oOmajiuXOfbCHsf5lgCt/oI3FjOyHKwApAlSEV2/gQyEk025prL3hmmTHOswwZZ4ThULD4P/4VnH
ZDD67YqjKgJ0ULHp0J1miMw0Y3TW6/lnjOPh6JiZJYMyGYQeOkJkUVXG3adaHQSNi6lz/bO6Wc+A
J8tAzIP9vnVsHVhi0LxVKq6KA1GpxldeDuK8KrOmwd1Wfb9OVb03iskOAHGsO7tkCcRXsj7Oycii
zGGZdm8DtkRzbY7cJn3cf27YJCnxpKbecietEHtTTRD39MuYdO9saaZ3ylFb3c+bAYqTX7s/rapX
l3UFqsuulh5/BY1hY13Q2Pbt6W2aNKRrbn9BfkNz6ZV5dp+61l3J3ncvkw6+cVUZmCpABB7yCnE+
qXAQTOre/LBQ6z5qdm5+ajajHYB7N+jQm6/RMvKrWrsUh21uPIa/ZvfucZvfaEmj35Ztoz0m6Lf/
QYhxlT/8rlgwUUFxcUtyes2rfOJvigUIdU4LltS99vQsT+mYQTg16V1JNCD3NqXq3aRr+YuY0Kv+
5Yv7L7a4v2vO/kwc+rcXx6slUPhJhDe/6Xs2qQH98RYYdHYy3Hl2qw6T6tkiCNb2xryIIKYnuyIw
8+lr3rhS1DiSADAVOriH/rNoYa66bsWwsxXgb2sWTBA/jN1MGc++Wer3NWxwxjKVDfSPG3U7KNts
TrOZb5ehz257ObGqgAq5M1BqlQFZWkBAZypg7vpSY7BdyD05TCBAUAfhF+csGxVWCaBFz8tIc2AR
C3jfZfZnXsMG1pxpOHQaB37e1E4DrucqlQI2+Q9vnTT+/XPzmNniJ8YlxzL4NxFbxVeJt8+kWkdD
Sd8g7k1zWYkez1esKkiWgOUfVsNj764jyz5n/bjuvDKiCrhqDGYZxlniEbeTTsDmx8qOAOVOR9GA
NWkW7QxXj363LCiAjTw/wIf+pziO3zybV7Wf51kstEyX/0afc1XO/e2rl3GXtJMHPEeoNqfF8aaN
9JxtSc+bNjzqy2RDduTHWQngPulCjD/ZeI1HJa5qPQZull4XPGKzYOyBbuN/FvP8u2yPH8603auH
EGT+7yLBhBmerduVty90BlWsIhPvRsS1+oeX+TMh5LdHwPNMFI88Ahzt+m+fY8vCmBw3aLasP1eU
/hJ66TyrMVyW0v4haeA5IwsoDXpchzAv7ceMIhRKxNwVZzQ73l25ugWyGR6W1qqru8EYxeoX8aZF
Ziae26HoX//nt+ZP4sDff2bOa6FbFgEZyHqZ/fwm04SrvDGQ4Ls39ZJDYZO1FTiC4WAeFy3ordR8
9Yo7EFTNN7CNOpx1KYJ0KtPTaq52iJhh/bJyb/krnOr/RNr/ZMbFY8nX978XaZ9/Kpy4f9dn63/9
kb/02Y7zh+HpaEd1gT8PrhlRrcgusOc65h8usjlX2IhyDTp0bod/mXB1+YcjXP0qA72ePuRI/Kc+
2/2Dm0To/H18pT1H2vb/Rp/Ndvm3o85B1MoJgbBOmIhB7d/OCTDG2lwUehFdIwPtuKG+HYlryYK0
b8abOgcrHItRnm1jaw6iMgaGpqrgKKm89oKBdngzZxNrKTjq/J07ZrYCIermCJyZqtJzC9dhZjrU
uwRIzx3UEYgQk23P2Y2yuubT3Kzx3AOpUKdR2CPbLVIWpl1CSYvIYEvtIho08mKBtLf4LnNTEFdf
XYnk6KbQE01IWELXoADnSkE85a/TstTnWSuYx+MBKaJah66PGSU+I/xW48lNhf3WbbN8IwbQfYaX
Ot8129CmRF31sFdqkZwm3bWvsrKUPaJbjt5J6gVaFVQiTFU1gSJmovWcTlLFKVM9dDPayYaW8yTq
ebR2ReFlZImsVF1XVZiXcwkKXGAmmRbxXepguoisdKO0p1dE3tB3cznf2VPl9DeoQqCfSZr3EkdY
YTp+mnNa+6PDDCnI8oq6aF6aGzlqWR8Jctdv8HQJ69CkvWGih7UsRh1zvj7Nm6wMxC5QqnfDsJRD
gDEt98LZ0yjg7bktPtHobe1xxbJPBk9f8AIwMN13kfX5XQHB6cAnYz4LN58Oaxyvt3GzevfIS9gu
Z16ulghqYfNCN49CasurJd7brORYVCxsP81JLa+iLZyHohP2p+CezqLRpon36Rp5a9zE3fBjMwiN
RquXb92YjW9uAsxvN5cmejcEiGIMmBh057wa6yc2YdCCcrfroGIOujYfzWWA5Bmz9ghTl1cIrUFM
VYS3znjMsUcerKTLHlibDo0/ESX3edXAMgaBlUpmjifn27yc0rNHMgQret1mopBiJ4s3OtMgnryF
tyDeICdPGuLKzspkHI7OfJ086Pb3zhmN0a9ga7G0YkiLQIC5vrmbBaKqw7poDOkAR8ciZPq5TSEZ
NhC3yD5mBmNQCPfcx0VotnRxMJXazPJFq8Zftr4thF5tFvOtTLT0MFVboLaRbjfuYkwg+U6A3X+o
ALX5tKfFvCsWfjGfJarSaRRXIsQSOaibqw/1a8yg4R7dCvRLHVujCu2S8skG45O6sMaNoXryPOKG
emd0oQ6B0UZkwxJF5a/t5t2y6QbNPKrZgYVH9X8WEq/k6GA+WnElHkQv8ldyb8TeZAcXOZm53UAR
g1yGmnzXLTLuiMOcnfmyevWgP+iK1buaDfbxvcGofJrHwDOGNj+Z9KxPV68ld/A67UmF6MmOUXxT
oCFZFzG6AJ0HypGZFzBSykRMzO0PFmyIBSckB0FB3MR4QiJUrFdVJ4LNbsVCzcp/vaLqJhS5zL8U
7tuMXSlSs5g4l8d5rO0fRTl3bQh6kFZzXomHuMuw1eG55JEZmU22tghnrGvM7j1vMNwjGNZxAz86
rttF07T8lV2ywyDPGKxxhyN8nSE4pXJ0Dtqwcsz7MdFCmp9Apdu5Gtv9ZmFk27uQ70QRUl12rOwJ
FWqtkVGNZfHb+v9htd4qxnbsoqJaWkbW07DXITju/ryx/u9y/4fL3QS8Qk3431/ul4/0Q3306aD+
yw3/rz/31w3vij/QpTOx5Z4mWtdxMf/864aXf3C3UjzrmDkwdghe6/9jNuQfAr6GTQWAsoxynT/E
hXrFbOjWH1QEFveyIek+0En8b254Xfxp7Pl7RUkdaZqOTjPj2gJxLz/F31sBOa7uAil/idahZSFr
X4n3y9SjnNlS81dSDN4YDBVtbLjQJSjOZSyxUGGFfvY0R8siF/eoX9S91bxXq+l5tzxI1/9H3ctP
o0O4GGabcXQWGAJ4M9mzg4NMVOrHWl62D5bKsjfNtLLkSazm3Dx0si57+N3ZQOCNWXOyqdqOIRaW
s1IAR1sPbxgD3wIoMQk4BEBIPMSerKhNViOmV2qsOrmvh0T/peeNCcAeR0bQFaN37IpOe5TMdRFq
FdtUhURkmeybMr0r7q4kuxsADCS5WSX+L71W8wmEuOXCRW2m+DauQGxSyvBEErEi36FPMhaZNYHC
rXPkFa4Ww4FcyH0gqGJRZn5jTobeMzfv0yqQxZKosJl6M2dLkKfPpku6xA6tbSrCVWJbxWKWZ/kd
FH+kD9ki0bD2xo0mjDXZbVAOy4MG06c4QXtGdWRfMzv8K9+l9VeQzT1hfa75IAe9WAFbmiNIXysN
h5yJJ1xMiSaxb2505aYEDyTtt17XPi0ogLmPbvyqSvcqi93y3CMOG23X98wye+Nvg7Y0Jeo+RiWA
ZrJsIeBtxEChrRSJ+Vis9pZc6gQPamBjKPF8MqAMbCzrpqEgbewGdb4trO1iAn/WGJfprc3YaTO1
A1DA/GqKRmUwIqyZLrFaVi+wsqyXoQtb675eFn0O4PT29Q2oaSIGSWdg2ttMrX6wBmJ44EdkhBcI
qqf2jLkDsSBF3zhFFvXYQS7uMITgqlHOJJvknwf2EisLrTSLd8jxJnCMa9OvEZ5rqUN1aW3pm0m7
UPpBDDvki2H+aEEtvlSAfQMKGPXV9LG+nPjWkW+ACWmFDa8ooWiK0aWmSqA9LfsB6BqtGsp2zWXM
r4EaPuW5MH60no66L9VHsAfpkvQoqNDFrMGqkuYEKLid/KxVxc2gsvRBZc69Uxc288wRCOIQd9qR
SiQlZ2R2BMvqqn1zUUk8amPaf9+81T57VnGYGgl5kiARV0IPgMSPvyEb5DOSFMfG6VM0XTCKdn3K
amP7Qvu8XfAhqTlAbJvqd2pMHKwdQD7mSNZbOx02kaDuwIw+HBZc8V3IVKj6Nmhbd+fhScbZ4rUA
RGOUbk2gYTp67lZQtdxZFY5sV3PJBGcFbd2YQ51akNlwQWE61hL9PAJGZEuQVOZFYaQB2JY2K7PA
vMq+k5Mkl8hZ0YnZeqLBdG0hnoZNl0IHdkX8qm1Eu20OgY3V0tRfsEzR84PX3iWxubyxoa4CpFIu
jk84xt/WMuG5afHw3OG7UYFpVs25FuX0zH4yT/1yxYeYlRCNMzxG94qsB+WbaB8O49RcZ/o6ISI5
7Orq0InOfNGroj+DSU++W4VMvWgbhjJ+KJYMuzcWrinew8ied6NM0h9Lq6G8ypFxTtATdHZ99PLP
GdXhcUH6y5geTQFgYns2mNg7dvnVWqk6GXBLDYgv7vY66kn92U3N5BFIZCzJHucDa4iqcJLAKecp
MqdkviUsUkPzIw1qNWTB81M7Z/GfuYdUjcTVAfXBi9EB2ZZxe5pInBv3ywo/EI2nYJqOGsEuAhTK
uQgs0fUoXFbnrp5kE3gOq1vS7pz6xc17jYpn4UHxvcITIdhky7pOm233s9JWAxruZuyB7vL1TN/A
Voofw1gSWSTZMplZoXbemHYhLZSNzpmJbdigirp2GFkH2Ki3eEZxO3LsX8PRqNO8+hmnEj2MbrZb
NJld/FitmnhOViwYvi1nZ4owTmUzuKE8f2CE5sClFRIfiQuLVzszs8s/WEg30wGcyFhcTCPeAjfh
yGHNY4AUQq7NVowR432cFcmz7nLMhVOygOPojcxDuGddFYvEeUExJeRhfvFo4jbOKz1DOMI7n0Vb
a9oP5QLWNijXuqK4xVTFInOd+EEwRoC57yT6DM4GMNgpOIcuSGlh5TFzpQlbH81RxNqt8OAXZwsS
lQzRTmxu2nGsYdMsS9OCNaA+6A84vVS8GzpQDUCYsy8G8N0btXjzoE1DRkZXl22fhQkk228wyIL7
wd/bhLzEAARl/H/sncly5UiWZL8IIYABMADbNw+cZ3IDIZ10zLMZYMDX13kRUd2ZKd0llZvuTUlu
QiTF6U4Sz3BNr+rRHEp57RUFgIPyEpOCfU8Zp1wExAbYo3e4ofGJTtgp7oZimRkQetf9DLuFF11Y
1+3T3ITDdWO3E4UIeHEH0NgcrRH2PXLcAdQQI5vswQ3T8WUC4nEqZgZzNtrWwu3Lpr44AeQzXhcX
8NK42CHgrbzgdUQDSdcejNThD6sbIBVu4tzgAQXu3lhTU2LZKKaOLSuYfe74QbiCcZXGt96cm/lA
gqSN7uZQsoi1gLVfW24fvcOi8u8R/M6dm2eGbVL1oKFs0NK1qHQT1yRJXA65TZyMFsEbrHihNl95
W8LDbTkzhT0U7geQ4bBcJyxIX1Wm3d9DC4Ew9UzzWVgL9QBNNxZH20w4Bi4vAAzC+ePs5Wjkk4bi
PPdVvibRlz1YXR2cnC6wxX50uW1ViWStUeb9in1Jkq07ajqxdSbsozyuo+ug8xFCgxjcNS4gLoiJ
kA9eaVXFR+qoBJdWgR+kSZeD4VJ8YU9gaQB75jrArfpqnycN1PDQEWqPT2Q6WynB0rUtJwVZLZuD
rZNnwc3YWSSMSi/5plMifU+H+YlFOptakSdeRky1b3aZaT0iY5LNuQwCvN89ZxHGU3cR45Fcivzq
rLQlrELOj+amPD863uzv0ULCew+w4sovMueJLEj74TuoSDdu3o2/EYPridmgELB4VNqXmzSfLLnz
xYLOPIct2GGH5Muh8QrzlZCd+56okh5fqIOos71s2OJ0ZMH7+ykWQbAVLG6jk4cnRV1BneLHmCSR
nlceuve3m5Rjx3hD6cORjKRHKSXjHABvzFzRqa7d8bGzQcLDF7OqxykaGvfYGFktD/QNPYwDFOcT
hKpxXrmsK+65vtU0Ay7ptQPu9JD584DkanpFbIxXlipV1a4DWhybtSAjQ54xlLQ0Ln16rBA5TjWe
9UMcTe4t2/YUm66acHcY1u+UeLA1sMuEdzkzyHfvuebZJ3KzRWUQG9Jqgim6CV8si2wBjZsYbI4h
jPD6E4t/1O45aKOnOcu9b02pGa5Sr69vaZnpXjQSNzZW+iZPLkvxq0E0QYntPHFeCS87L5JZ7WZQ
frKPyjGhGrzqZbX3K+kB2RXGXRk8PN3aLVrvFy/IcsMrK8TgGlruq4qHT9F3cbo2Y8n6nAV9C7+/
616dzG8teprTgMayGNVgbWVz/dIlOnmCgR+2zG4UVNnMi4/YOo1P8iLqxNsyQY+LOtonfimvAu9k
eZzGIJAMM/mnYxYwJHP6mBfCOVrC5eRX+FGjU+cCMjzYizMuV4VTFvMO557Ob7JmdOnKxfWdryx8
iqQxiXcuO/6rwrrLuyRdk4MJkx0r9nYH/sc1Z82+9omOLRT3TCTiEROvk22Ex6s8Bb/9ABwseeDZ
Xw7LuODOK0Je85t60fouo4hgDUQdeaQc3J2wmAqy0vvBmy0GqgR6+iZ6oqBH3Etz+opDJ8U0IvB6
r6qW3ii8GjaNXW6HxW4yG6vCQG60zrbQcMwJ82CzdfFQr2mf+SgAh1E/MCxUZKZlgOnBTX3/pjOR
episeIF7ITJyuj5ctdr0cHVkXVCMYkWWxLvnZbBhZIpmhaplvaPIauuUWy2NcdqtgmfAY2gdNVge
ih2J6f+yyzAwq5gX7U3iXS5nYAPo5B6iyDxms4nLXYMayK/QX94pv5g+BP8Kucmn1GY9wc8bJ4Xb
DnvP7c0HUUYFTs4pvNssde0nBlxO2JwS6x0o6/QUu435wdPJ+nkOymOPUy07jFHjXXNpCGNaK1vx
leO63JR4HPwNQ8ZCYGCJ0I6XwpgPI2D/rQTQasFvMWY13mXtmrwtdtmgwH6+5cNMq9BEKPSLj6+8
Gmg3gpLr2Lzd0XWTQ5ymF0gf8b7J7lht0jpS3QqbYWgb49B26HlIqXXnRmxDk8+snFsV1xu55pK7
7HEbiQ9f8QJbY1nk/or8Rlxw1ohxXJQiOT/38eB46EJulO8yKhy/x673j2OqnXcyNkhxqd8fipZj
fhFuTwv6LDlrCtVse5yom4rCnZy1K9f09cyeFIsFLugPz+ri2wTUwF46ffrSZ2EZbhJaaIpdnJfy
fulVM5y6hgTdZsCuH9P8XMttWBkUaj0lOQOlYAu+pgbF3IYt0Nd1orLoO4vwa7tD8pxGUU98OsfD
0dQUR1TtEuzcIMPQQyL2NA8OrC+vq4+tydq7YOzsTdtLSSnv7MN0mjM9PPS0xWN20AHlgHU2/MpV
CvYqEpHqDwH2y8uVXX3DahhvTZ/Tr8l+C13Nb5KEl7SZ7U9PTfam5Pfwm76j5WFMecEzjcorT6fy
Hrs2jTNpPF3T03dOgshXICEhy1JcNR4KT/4aNANPIRNcq6KezhMEyEx09n7ISybeUbqvy5J+87gZ
fsaIslpm3yWthschdqtNmZEmqXImZOPIG68C6VX5A/+gsWnvaHLgBUo38wczBb49Dj/56BWftvD9
bcZzxKBfuxuobfXW8Rr/WNR2+xi3yt734QgoOEo3Db7AvZPVwbcuLecQ2713dNvisNQhJjupMcK1
pq13edW7j73jkBwnf/4V4eM44+We/rTPbLwYly5lhrNtDnSB0mHJITn9WhDgoZcANMHA64cnVXQM
XTR95+V6nKzuEzpoOG8XSUfDrN3+AMfc2RbSDfY5vWeHFgcaj0lb3NE3N98QhycmhtmKYlwzMhWG
k1p+5pxEI4IR9bG+V4VP8B8lPgxMqNSWetyJy3DN+sHeCCb5n9Iy/b5Hd728TN46CigcHKa+vh4k
h6iCKp+vW9Ya8b5qouSgnHkPU6jY1zTBAvFsET8K2apnxt0OgWIe8MD8eecgX7fpBr/4HbppdMQq
vzzgE17eCbPKh7qZsa7ZaT6sO0K9w6oGeb/GilOsUW72fkPViCCDlpaOvNUUsPMNGWqHhU+Jw15Q
2rxzdRNjy1b+1VhyP9UBnpKpt8+U7GJDtf3Af6AJDcdC1Zt7etEQjuy0CtdFXbx1RFDeID6QBtd9
fzO5lL2in4td61/kM0A5Lb49CJmzf5d2vtxSboMR1RYIzLM+uCYggJNMa68LvPPsC4dBKgLr5kMv
q4XyuSOPrNiGxNqOvIx3MsLCEcikuuKgIpNIw9BrbXWXRUHfdevapZBTOMnTXNK4vs/s0TxJSW52
GhpWJ12k/dswCYC5Jrmk4r20pi0n7rxq3JpQkUrgBVA5I87GyVu1RU07zgSn3608tJ982SmyqN0y
PC8jpUUiKdzXzuSAzoik8FslA9tKfv+kDtQ2GMo8OXVmYgyZUiImvu8z5yxF8GXq8lOyflubxkEv
UEv1Q2tZvOd8aB5Y6U2MQ7F1U7pduPXi6VXlvFi1U9UAF9K22fvGH9d5aR7SpgxuWh/a4UpxHVCr
KOV6s4onPzvbRV8fA7sPf+Ai3FHFhrGdTQ4DWTzfSVbsW4Ogv3YG+osuwgmN6M0+Nbk6SrOgTc3N
Il+kqPx3H7ywPaS8SRKdnYMOvCzBB9B24Fmym9j48xfmbYhThbF/40qwuA9E/p3GnpNLf1E3rcVu
5zod2U3ytdIDmWYQD44YtpY7mAOj9/w7DfPqrhh8cejGsdv2dgX5E1Ax4Qx4M2NI98Xq4vFgklr8
RDAOBxZEoTxbsKNyabmnq4RCHZ81KX3o/7NW+O8AvPFbeWzs/+9rhYfPHEJ3+ln/o23g7z/1t22A
PX8gMQDgQQLQdPEG/LVTkNEfHqkUITEB4BFE2f9fOwXX/gP2WfR/RHe7f3C1QDPwXVBw7Aj8f2en
gInsX1wDjsB7gNKDeyBw+dj/i7cMScBYtaXIitDfXO6t2NCLJkqfPTCRc3lksEa5Hi5bBrxvl+hp
J8VSbyqrqG6GnvJIXutJSKaowE/mGvdKdlEB/mOmtoo8IBkjyqn8Gn+uroS+Yre600HujsRFgknt
ESrYYY/4nbdJ4ltEvDMPtk4/sUAAsyqPoGTbnj1wVbV7OefF+5IZA3XNvWSEQiLmPQGECqnMruPk
yoSj/KK2Qm+ZF6a9GaMQ+ieVUB3XnS1TTsFJDIq6JZ/8MIq2+zWSJ+MKRrvjM/Ro+VXhUMYnlCTE
PAW9qyv85SnWZ29Ivkc7yF/J8SDY4krHwd4SxwGZNFbmccB5tWcc6MWVHXT6fZ7beEOJqXknu2im
1cR8cJPNQ29vKsKK6GC1Yt4tBGzkTaksCjZlnsCNBkbWx6uxdwgdJDUBrwr2JaeRoyNCSo6bfNp1
yKs7a+ZLJKQgywk3gleP9Bz/nWMir1dqSuGRe1FtnYbBxcY/VqNeNhavBPccjvNQ7weCcuTm2Jys
EXr1q9YKsAey+8A3UJQeXG/TV7sur/MvV+niasm99q4kP/idOo555kXCMoMePzpsJtPVpxY9qFm5
7WS2MRCFl2qocX0vYUMVtY/pAXp4hyBkL9p/SQlXvnRdSx14t0Sw4oEDNA+OJEa05V9gXsZJlXc1
udD7whlyrPAzNJg0U8PetU3ylicm8C+o1CwIGT61wToS6OVVI8n3J0mxAf2MmbGcnbbSWRwsb8w/
/WGE9xk11AmdHbL3jDu9XfM7cyizrDBzcWMc834bh3ImNeEhdmDcGEjisPblUgIkanjRUrL80eVk
3oG8hld5FkXAOyJyRNtRxVXLAwsNdI09mvpFVuS1u5+qpofTN+WX/uqOEvSN3VikfdlHX+FoEPd6
mMLnIh98BNqUv9Ui8kLtMsHmuzhXbvlA9WRD8J41e9ZJ987hrX8GsZD2+5I7LhBTcO0kx3VxDgIq
fTZOA4qWWTTYOHUFGqXXLo75eCa6ZRsA8D0bl21UN/I9SnInXFUOazVcnBZBjnbU0bR24VLsZCf6
I+l/le8auI87u7G1wiBhuTN17Cp5QKhFjuzSPHqzucq+EjsNv+QYeudgGtn92BZfPJ9w7HlN+KpH
LjLrxp281awc7zPw0dRvQUA0ksvdBAE6MqW+heJLcr3Q2jv1o0cyd6ELK8d52uo3H3PMV5onZOnK
gJq8fc85kO9EsWj3AA5n9iHU2PzNsT3i6IDRFKTnrk0wMzVZwMCc4vEC8Yv9gSmV7jx7S6hvqFZc
LfE1YNeAWtCK/oL0dS7ZHxCSBKlsNbM3ZWOC6McD+9l4VoaOSL/rQURp+T3DEtvlmE+uaj7h+MuZ
Fn5xX2pu0N38vbHtBcgW14+ViF3vV8+95ZYGQumd0UOy/ibRzfhhLZRw5TU4MC6w0VXo5MkzTxSz
dhXxVNb90ux4mczvkJ3KGwJl9rTu2W0EuCoSsfdpc4mYLsdfee+ZfZAMdGeDPKNP2BRmo3NHD2ca
tEZ5lZRyeeSw8aunggTdZ5hb4Q1CXc1fEHS0HyZt8ZaxodWUAYcBMktZWa8dy9Mb+Ev2bz2lCyir
nB6UVac6AqR8vq9sWzTfJDEil7M9E1wlHU7HFyr1ciDZOM6snR4HknUepfT9lm2uDSmhXlxx3Qez
OgT0nzyFsUO7qzMhAFaaT4oHzL/eDvRLn10/+0iUU8GYyGggEa3+JL3aPupp9DC4ghtjLLQePY6z
ao0KFYD6on61WCHNii3ujvHTjwzZi8yAYYwKS0DyghyKtK78Y4Bd803hkWm3pHDDrdO6TQ0DSXnZ
o+1VxO6JSGcvHdrTJQUeljv4ge6xMIJmX26vZG2xzjjfOm6DW+Bm7selb/ZOQOPZuZ3RL2UCquOu
ShVsMSUSXxLimOqPnFphdgLSuLiqWzYDWrJsyPompOGxi8x6HGmsfkrw1P+m/UFUG9J1HfK2R6ev
GgY6W8k4Ya6yqkZBg4n9EZYXtQsIp6zIfGJYHYzz+I72ssXG1YNsvglVwKnlWY58HShJ5sVdxGhv
Nln+KiJvE8XUzVO7QfufEIdEj+lTU132cU44gjUIfXLUSr+TVJpi8u+0ia9Y0BHZunwOAWGUQX3l
j717C//tgYCx2QDPeG2IIKNUXFZnuUJ8yvz4nCEg1OBtvG+T5iT30ijkZoZcqcaWEO6ckSxXFBN1
wY9vsi+VeBZXalxuKk4wtNMuwH3OT4z3qgqKOrdNy0m8Sv0hojK78Sb36Ekf2NHsoTcdJy9GtfWt
Bg+6a0l/5D4xkx1KglIvO9OHhK1NGn43TdcgpTvKeUnJuCyr1oZ/cpiKMjQ3C4/PN1Ws9MRPI6OO
l5aV2tgI5KxM85kyQzs/FIDat2Ls8MGn5XjWRoUbDCc470s3y4+NKu1tSsHxQ+GDcPcJ3G5wqRGC
pvb7d3hJhJWhO2zMMg9fVkeHc7FIL9tMNK3TEuvH8ob8AY0c0VRzq2fHz367Z/tMmX1jWc/ETEo6
yacxa9ZhoSHjiy4bl5suBGy5rXhgkg1FJel84Ta4DlvxxBzbzAI1hQBLRgAnd7NtHO2+iQtf/hhR
YP8TdjHsGFmyNPHIFx4rwkfumhNhRDwydni7LPQBYDnoo+tpabGCK0GCXzk0CFXt4CLF9yBu4jFV
X61Q1L2wNZ4/bBGonP5DVDSofyHynk7iJdjX0qmoFbCxsR4TWcIkmakH2BT8lK/xRggXeph7WfgY
eSpIw6xb0bCqahBqXxiiyCDAVRe/hm7u3zTtrqcSvS3d1CLkjsxLydwkfYT4VUa9TSiYsLfD9tDJ
b3XAHWrlSl9tWklB+8YpVC+vxgTpyAdnjsjGYbfDgH55+y1BRzjHEMZYCZpirv2Sj+naUJWDvoda
N8EEfnERXoK1D63mGFpB8EbMXpMXoIYAlBzl3huayUhB6YwveZU1wZzdopgm1yYfeuoVkXU+fRl1
96KtJDSyPmjRcaWC7DMubAsqLXhO2DXyPQMLsXfjkG96Cj0BkqfZtLIYTO99mmLPZNjQsePUoSiF
Y9yn1p6pmCODumXkgrrotmHqhdUr4djmR/QVK7BCzRwXCZaXfourZ2n3sVblJ4NC/IBNd06uwrYF
ZtV0aiaCB6S/wuaW0XQCBVOYFQf0rDbQsNRLEXvOeHGZqFvdzPEZEgP+D6fsfyrtOw9TMUJpI0hf
3qeLsZ5R86IXQZfCXoxR9AOmwH6eqd45h75vvc/4BuGCdvlyPzW5fuf8ZVzwOiW8dRUOZMtrCBKr
iQ3m0a6T+bXJZpYcmnfMq8SLo1hZe+iUSWnnxR6qe8BtO3JLeHP4GEsmZbvwjrZVMsUMGdWPkLTC
6iQDYIb4WlL3iPtFlrvOLnBiyZS3G5H+tJv3sZsm2WlRsjj72psB2XoOOassBxe/0VEZ/R7J0v0a
+jDsLhvHWmwH7lIvsKXTdC3TCeD93qYJ8GJ87FPvRIMs4VTXytt85yOQQKlx6iayPhtChoc5F+Vl
XbyUfg7DkEUpvRMj150NzrUmfEOEccIHv2Eu2Uc8adg9MJr6+Dpi/enjhR5mXBW7SYEcwGAcbBPh
Ndbe1J6ko0UKHszFCqsrBN7WrFntj+7N0iYMrFCiqNQM/SesGd1yKuIZV0XETHAHpXOpUfSWiJoJ
NncW3Kdq0uWWTZreAmizpQv9ZyQdShM7yTn8WrAbu+t0aRiPWuzjeGcdYro3Kscle/KdYUxvwynQ
8lZmcTwd8iFTGOD8+h7DZmddhT4zCcoXrt191M2+uxvMkmZHn5Vp/pYlbV8d/D4mRdgWdLZ/VAsi
dMRySJLUgy32gZZcx6vAJE7AkKRcolRDNgmE+3EYGDN79vRrR5DYTdHjhf3hynFQ6171eF/pb7/E
hfw5uuL13U2HInSoWKIjpN8KqssPjS2KvUrYdzEGSvOY1qq6dGbJ3N6lfYuztGZDlV83XjAF6wXi
q9qqgtYf1rSjtVHJJPczScgYqwkGCxjEIe8u+IhBfKpJznUkEJUg1sKboSq29LOXw7u5hFLbzszV
dYlNMVhjlPXZ7bJPDtsTudY5OgB1gVSk/CpIX3hJyeFix64Zc+xpuhonF0Q7noNhrJ6JQHr5F4nt
sblPtJqp7mgv6+sO3DkF23K8y7uItDHDnbfqsSkGm4Fvh6UkaZbl4CRhMJ5Ty1vKbRj7gbcinKl2
AStI7Bxhb52zqniPcitmIgfgRB8J5vbKi9sPQs4RywF7ucvZ3eVsJPSmz4DDc3xPpbhEpPN9YWSb
brKYYmyhKl5TdWrFvxHzLHEE5cTNCIkBd4cq0/nXnGCSOA4T9RrM9iMLlW7Uj0CB2VBKiClcL+fq
OLqd5WGxLh90MnA20WVdnBPDJ5apJaalOQ5RxQm+J+PXEIRUWJAfwZzSyJ795MxVGBLv0LNTgmOW
vAwJvTHkZhfK5ssscW5nYE7immAEfA3+NIAtrx5tyFAUZmCeq1LjrFUPTc8kLBI6jn4EQGT+ZxZP
3JgKmp0/K0vWRwsdc13KIL4K2nK4GEEXR67KxGdDv1S+ewu1z33ossa7NPxVMDhne/lyHX4ccpIX
LqtRT/zko4MXJbj1VRM4zXZahmNr1+YzGezkBeCbep27ROV7h0T5CctkgNklmimbCWGbJcUIMazA
egEpuwH7zRbGb9lBdrlFoZHWHeeSS+JkZ/GNsUwuojNNuYRmsTWiLdVhDKix5bK/GfpYdhvlZ3js
sbHY42bSYcyJ3UXyLyL1/zPT9OUv+vUPjYZ//8X//5sH/2vtco1s+Z0ln336j+LlX52Flz/5t34p
CTfhiib9Cn6BqB/R2L9N0fKPANv1xSf2n8rm355o9MuAmNQlGgglPvpT2vzbE83/hdhIExhpTGJ8
Nkm+f6OVwuEv/6dcLibt6M/uC/4V6KL/2jzImhC8TpXPezn1+D67JnjrAie5DgWMgBUmSIPz0f6C
+9//hL1bf0x6mNdyTFO9BePRbIOx6beQXaK3njPtxDsz2TgwBL75tOjX/1HR/1sqOnr1f6mi335n
Q/pPvnzx1x/525cf/EFsnF8v8jSGtD8fp78ewdD5w7P5H/RUii55Osnk/W9fPnu5i/k+wASDcR+z
/H/68oM/sE/x8IHVv0SD/ejfeQaDi8P/nx5CillC6hDwf4YULMh/7W/ORtmFFLgtu7ZsSKpAlSBO
3BvQCGnQU5saDNFOt068xeYAc4hLQnxFuWu5i3Efnos8d7axwZ28GbEuMte3iV4JoQLUl3gK+j3B
0f7aOFkaoF4qs02UCh0yYFN/4ujt3ha6rjdasOhkSmS5VOT9QdMhvh0HDSypS+rbjHewAhqjxmjj
ux5qZoUXE31r9hDFQDKyKhNh6Z0zk8XYR1qIHDFX+esp74tuxSoNFEkVGesnHjTtUjQQRl+onnRR
2VN43fh5dmp0RHSpKpaGQcxFWbBDHMHEmYYaT1QAEqTP+nGAE8rlc0RXfgHV/z4tdnZNy9ETfCL8
mUk1HrEl9J/cr9OzJ0j1xL2Sj3Lxyms7ywWaPqgXws3pCj8SNAmq7PGK2Udl9SWwwXrZRvzotg7L
X2YdpHS7TqeHnl0qObHwOmQPfsa6kq2TofhmMXyxBeB9RNTIiYSz1fODcf4AqCSvGJTwzi22BUsK
HPFIXJ3z7lQ0WU7RmO1y4xt0y/K6gZJ9tlRCCJ8f2gUoUzpcEVoDIBQLQxA+O8li38l5MA8RRqsI
61cmANohwt0WrpnJalRi+GyCdOqOEwiRs0y4EK7sZqKxPawu7okuxCZZ9TmAqKl1aIEucIQAHAk8
jc2/TSLY2olw16AvvHBXs5s8DWbI13FLEIyIVQh3P9FVlu2kN7gbMV2ALNEgbjIycR/WqMUuHqZ6
j8mtuXxLI3jlJAqfWzX4W1+FBq5dNd4qOCv8Kgl9cdkxoa/QvfrxEXZdmoMLcsWr9if50rQOnrF2
6p37S9HGrRQeIQ6m7+ag/aA8VJEHaXnS4/yqwMJ9EcnL76E7uVvXSpNum2cz98qJb2nc4Uamp28u
ueKDT8weUgJuB0Z++yCLxOwoygNLEhdjc+ja4MInKhVBiEfmdr32p3EXWOkLxSFm3RTzeKMVP2Mw
j/m7YVFz5zdcrHyPxGmI404Z54bUgYP+bBbyjqV7nQMq2Emrb9YUQ3fXUQk+cV/6vuJTPZt0z6qK
G/bMFo0wI3gENsxEKhdgS8bfeEQ0f5g835Hx+6ucasXrCVXvmLQTLp0c7eCg2QEQ/TTNpb8tRFcV
TnybD4PVr8j+12dNL3u8E5OTwXmxs+AeYM3wAjsxVWuDbex6iJz+zQgP+rPTk2RfBSxdzn4ba3Oc
QjHoIxBeiVcMWuP8QbYncx+HkBK2wa+bb8ZnTCVrxl7ZXjGez1EP61tnzquVpMbQ23lZteTJiI7Y
uB6wYFfGcXR14RvmG3/GkUeRJASESQdcjjOLL48jb5yfCXI6G1+r6tURxqtOXGc7JIbiQtshW4dj
SnNM4+50gQsGvi5fcepMex31FtljT77ojjI1x1XDjTXZ9XPZ+3A4sdOi6Yalsb+DIA/2A7616140
pAIZ9nejyuNLU+3i3jaOmb9qEiDvZW9YRvbKPxg+RZywbbILc9U+TZkg9MOtwp/NuvS65jsZVXO/
eDL+yS3Q/QVrpe8eSwxmDJsvjJMR8GLpLkjsYBX94SnDdxuSbR3CZK0AUJuHeehwuAcDcJoddsTF
A3AOcO7C45+2GcxNeYiFgfRX6amCLYSvThwrEqiUa4psgsFdJMtTrj0BTCZFFkNcvUBmgDsBnBFE
puhVHaLi2viNxeslcXct8JQaQzzVP1gRm/0cNcvajliO4pG5LQEGXiFuJmvLM8bgo0yWFQY6Pq/T
0J60zJHz9QWWMxtTXWPqnp79rEuu1J9UncUT7Yfu+XbWfcFHYjVMpiVBoDv3nAAYX6AXXgA91Z+w
nuJPcA8tMvMvG9F1Xo3FHH2lnQWRus2zqV61AUhepCG7jvZs01wB/GdGJ4SFg7WmwNPxAPRuQKcs
IdGcY0kCaCO1TtgTcsBnt0Fj9+eJMozmmC+td5xa4U3X4NGng+tLPgWDVZ1JpgDAiFmyr6zcGHqF
OSYxoqiHwGiaJsre/uzU8uDhSr+kq2P9aJvCgzxvXQITKu9ZIEA8Ah6Es1l+9slsl5uiNfK1176O
1vA18+RQ4G/D5NtJeI+05SAv2U2u1vY8zT8JLdzP7GWmRxUl2P2acVaP0rWjc8dneGUs4T04Q+e9
WkNUnTmwvdOAOI0vr0820zRfL1EJkpiNAG48nxUs2DKh+MD+ib78pnyTWBNqDBqXWGCY32RpNVjr
il8lO2HcSvNu6OF17b3Sc38zOM2IBug4872bUADqp+54+ep2eC6cSib7DCDSc24wOe/wDKgWiyFm
vi0YOnVrBbqMoVuJ6LUto+rg4CttWHzYHQXIljOCWrNi1FmZMq+taGQq/M1QDPyiKUzLq1ssBKna
huNQvuOstm/7HPMNoWUtISnBX2WGiAy5XZT4966C0KHFQn82QrC7xhkwPA7E0D5JYcJL8vUQkEBP
Eg4aG44G5lmB9wkTWnXLd92d4hSq7EG2OD2B9+vhZ6BB191UyZQQ3w257ByaWUF0YTEapGtSvEC7
UzvlwJaLYw3rHPXgOjA27gWQoZL8g++039yGKLekYac5ESEBLuxN3S+SpOWBrWDwS3sX6Tw0VDiu
iWn6NDX71bJtm47NOiGd5B1UXX/lE8h6hX3D4tyeAZuNTvMcTh11LOWAIrCF9+ifq37It3k15hpK
Qv1te+yU/Snu3xb29see6jI+WFgAb0xBgIANZaVWccOer8JFSnU2Dm9qgFD+7zAILXzkY2VhR3Mp
Jlnl+CPeM130epXAWnEgOojpbU4rwQKnYO24tUKPPmcvTJ61kemPRgqrSNFTL7ltdLNgr1tqHj2T
VB0s+p51TSL0gKVt8OBxOS5ss1jkl+SKjl+wxNaY3VhW95Jujpa11NqqSJgvc7pnID0UdgHUqs/z
eocri5ogm8oaBEpFyC6cIH4j427tAV8+lpBieJ2yCBgtesWa9z7nScFTeUpCNz6opGyvGrJVT10M
GK9kfbpxHc+8R50sobSyLv1KUCcyykVT95epLujecQsUeHnHCPwzkr9aWYQlgQWI0VmFl8TkyptD
NvNsIRpqOyr2jAUwyf0MJmLeWmgzbygxxn69xLlAvBrXv8N4HR4X4As9hNGy7A4JcrKzmiItqCyE
BPjVJr7BVswBsZm8Bl8CZnprJBcStQdKZ9y14h1wNLTtPTRRNr3EylwgSqWYcLcyZcIQPkPBSS0W
sKxxDtZQhYb4bQ2CuBbR9BQW5cXh0PGPdoOi+gochgSRFZ6/qcbC+ulZGDJ1CsnXNmF/zwlkC5KG
bkuCAaTnnd1OETx8snwbQUXgXZHX/SP3eR9AvoS/ywal7j5kFmCVG1oaLTYMaPM7ldftL0KJfDow
AXfRmQ8eg2EGm/Qzknp48p3RvdKeK+4q4wzPoRvSZeC2mkWMm8iZ92xC2fKIyX3vicYceHqmdFel
tv722ENkh2bJojPrFJhqdoOPYwUzJIw4cd163OQDDkVhi/RQUviUrKwhSFhhgXabeVS6ValLfoGq
cRXs59pyPqNw0CdHTlBxySXTNx9eRrBRJcwD1SJoWbIBY66YCamZjObhao4lG34iJcQjFhzY0T6t
veqHQyL/zKcpuC5DO3c3M56YLT+z/2DvTJbrVs5s/SoVd44T6DIBDO6g9gZ2T3KzpzRBUBKJvm8S
wNPfD6zjuDquKoc998gOWxIpChv55/rX+pZebamQYo3bGxTjTWwRQuIQ1UsHRPbMh9Wm9VVpAB8t
42TgWdm4VkZ/nxgAR9IN4ZO/MA0/cTzA9YZMLZzcyxw9pzRP/Yq8mo92C1vlx0Qd3qWtKQndOIk7
FQjWrfEDnEft41WN4G3DTK1n7o2EceqArOYZIRzKwYKPHgZDfmelS3mtHElT0qghV0J+4MVSV+lR
gXljdYWn2Mt1Z1O5g/gOUmX5MeVNkSNmztGKhEjZ6VXw66c8ehwKA9oSJcCPiYq4/9FI3NyOdR2q
vUnavN9KxyQ0zgeLPRq5bfKySdueTT4WwVQgTWMdOSiXoaAsHwksIfDG/L3vqTF3iZrXFgwOx3PO
c4TPfMt2NX/pYis+TJRfxH7LsnA1oXbxL8JLDIvYOIJGOAUlcNYS7URRUntEWv4qMXkcc/4Bnjwx
5o+8L5pLZPHXYDIySDBnqy6uOHBnjAJPxCFOkn/QkOvXNyflbTt5dvTYVMvzbybC639F+n9Hvjl/
ryh4NK16AmCQTkmkXGWN34P+rsUP1sI5v89aI72vFRZSO5aGv5SGc0qWnJBsOcX+P/6if6+lSYyA
oAVQ1KAbmYaFZPP7FzUTo1pCJ6O3JY7yC1NGfyUqDn9WJwBfL+2w40omEcxV8/GPv/LKLfgL12C1
IDLq68R9kBntvzMh1kIAKiu6ZQ87xWLUcYBATpXUzu1sQWvMvbD89W8p7p+R4v5Ud/kB/++eVv8j
j5P/QRLmN/0pCUPC4uk0hESQs9b//E0Shgpu4SU1PJMimZWg8Tc9zkVHBntM8doXQMPECPunHme6
qHjAMzw2fgYPgfiXmoo9/qC/PE3ISg56tW1Iiy0TsuBfn+OkFHXBt8dVs42XedOopn8amAne4rEf
76xJPQ1aqz2U3CszuuRgEYDCiKjJMPAbCZXm34qsHd9bMsLHMPOGgAub2FKpxMXM7nvSYIm4n6SO
+5wJZtOlqr7iDMg/Uil/oC9LH4SQFjQpE7+s7Opaeyp8Ii5VMZQb3atV2cV75crM18wZInGYZde5
Eg8Zkss5N0iDY1JSL1Yq9UCn0YXSLG9Y+yCrx6ry3rBTkaxW1COwq58CqWlqz4KGUkfCYn6HWxZX
ZvOI3yoO4rXNkReJ94DNl3KVoW8e7cLWgi4CfBspRjZ3vRUnYdbse91Tr+Y8iUNnhvmnF9blZQQE
+8OVBeLI3PU/BvAYXExNUqphKMeNLS3PZxnsJD7QKAZMmomN7xkDyVbakP/1xvUuypioHjQXTvht
1/TTd6tIEcpytgcJztVR/1aRAEWgQhIBWWK0qEujuBH9yI5sXi1krpZ357jB/7+1XKz6HMQVsuW/
Xwn/1CtBguv+R++D83tbvvfv2V8EeuO/ftefLwT3DyFM6eocW3/72P+5I7L/gL4pdGEBzxEAIv+/
yd3gUy+Yb3UbQYs7jcX/9TeB3vhDcAKxcDKh3KDUu/+KQL8eln85XQQvHlNIbh38Sayd/vo+kFyp
a6f3+kB0sLzK+U6G2SeGWaQiPoJhfz9W2Wdj46X57ad0/e+HOMfS339lue4ZBMRWiTJl/v1iIIqF
tcglH8Dxee1HaIMBGWzbbqHI4Xo4mvrCJSqBKWQxtBG1n7p6yo9wzJbbxICby5IEWSoj34Silbnu
W+XO1ZlWE5MkTzLDcOZmTORP72b3aufNhIqjj/HOEqFJD41V7Rc5Oict6gHDdAyL6GJEKvM5or5G
tncKI6gPS/And9PSHzLqAj2LdTN2g43TlA9zURTkanReMqZ+JqWlo/i26YNFYI4TmpzYrVFpxhUk
dXbrIFhiBJ1SdWu56RPKMV8vnKduz+usuJ9FFUD1uqRW2t2s64DNRAPCQowOpj2EvoTfrODDbAuS
+UiMmv3cO+jXW1Jk0R3zLxfnshBbg/DdxpQJV6Z6Zb+ZvUg3Fkmjl4SdxAOePvznC1mdKK/2hjKH
e4Bcth/i/3rrdbbvrKdtbTcvGaY6a9TcO6V1/Wc4md60wVGDSBalvferr3k7BrOCeYFLTH/G3wVU
MDJ5xvywtuKHjoIQgOX2nJX0rkXwAKjLUXtXd+OzSajhrIRWXgBFtNh2hLydksK+05OFKgUYMuLa
QDbkLdnpl6QjQD7UU3mdECiG7QJ8GzGvcXqsRgVpXubmcl/Zw3QZU7ffIXOW27RNvR3kpeVMNUb9
3JQY4LdN3WmRzylMJxpsH9/siT0QllW1th9cwrdXFgTIA7ENgp3nYOhZOpVNsbW72iMlUA32gU0c
MdsqxrJc5Cabn03osHEi2k9mflPn7nzHr1MNsn9pfAjNERCQhpEeORTxK1CUztjq3CDEdmhluhWG
1h+HbiS675ZVOu6jkXqlTcdAsLdjB8mnYgfzIubRQRFIZxn6csSEE+KYdDcSGSQlplzPx7CgGBOf
mqhvhiHuv1N7zIMEkfAt0qv4I+yd+ic/meShy0rvzskE0b1mhuwRJMRJ31DH15XRkEQ7My2paGU3
PV6luTZdL2ZsHOBRedwJ6Zf5rlh/neSSymkb2iOyVzKmMVcxy5gDE9jTLu3y+dGsFuuhNFwQOwpa
w8IR2MDNWrxx+tkURPQQzVV9P4aG971zq/i1TfjpBbbbViwRcvrxXC+SL1wMKQYdBto8yLRP79h4
u2eQJVx5zLKV7zSqgOiqHc5vrvBMIlD/4Ds2RmN8aNhfH+O+Ll5GkYb3mIidt3JYWwDp/sDtYiqC
2VFI0ABG9cg9eyAt8FjJhoKleVhlLdr5KJBJJeXCHQK0tUuo7035uZNY9eXkmEwfrOKCWDfdPSIz
m0MuYnTrUsl9oKyV8tU4i9uHVo0NfJlIz88LMTiDzWLIWyTjlg4mIVcabXNzV9AP4GYv0IS4WlJg
BkVGwn/+qeNdpcaExcphaTSCL7C0nZk3obnaS5KVGjMUCAQ4ntKrVuTxlfWoGMDjCAcCDgW990nl
Wi/8k1IOVNNJip5SyyC0ZfsYDVYMm9FWgbBEcZ8Dr4H9gu95U8upebM6ThNeZhjrFUuH77zM+Rd1
6xJTc+cYIARwQ2pQycaIKrBoqomYo6FOKOgQ2RFqJr5Tre5PA+oFYoSbetqWmzuvhTEMwerDGxlv
FfrAS663LA7ZZKYdJligAQeMF+Y3Yi2j2EJmF3WgG1oJV2nW05vUM4erJtz62WUoY3YKUaoDIBr2
myqW+lcTLVh7ihjH+SbRPZyQvdlGy7bOsXUCbGnn6GiEmukAOLKyWzRVPb5WeqTigEW6dapGGcX7
Lrd67zRTx7Um2w0+XfS+JxKfTaq9IzhO4XaOwrZDlynDXVd2JE0VWtzOtpA1fcyjTKKhVWr2lgen
BZGFColmhhYGFE7pnt8AGxUbOQvqAl14ebRFt+5ApLUu+C3ucvLSsca764Y3PEntd2fU6GbMWudl
SNsCS8aYnZdU50WMwSw/yHjmBM3KYX4tMFTT5Ocm6pZOGLcMCvhGzws2aCgnJGkaLPa28wtGpnyc
MvzCCet7QKW1nlFDNDjt54y1/b5FJIi3SZmyMWcGpmdKGUDoa/yWUVW8llXUnqLMpcAzdTh2sCJH
EO3K5VyY0EQQxruzw0cvsPjOadJIb8lHhEQidIEXmkHqRxSK/NYOifkEgwqBCWVUZcK9r4WjHyBa
k4DLMDe969HsoA/KPpsvlZxRDEHjxK863mr+od18pflMk0sfs8HfjRqM+c1aLPnE67e+Ti29bZE+
zd8qzueLNKMJMZpd6DcgrWQyYHDilY50FM0tPc30nZh43Tysn9nCx1DTW8wxor/ajjaSaQ3Nq+50
4gPuiLZ1w2R5FnyQfnr4OO1tr8tkN1X53rQTmgrcqoeO0OZ9+2tJxoiweNM5Yut5mkCj66R5n9jN
wO2FjrsBE2RO8/rofBNDHH/CvijiLT5o3AhgPyjmHVJKgvF9T6w0jyRyRpJJEX0as0GhFKdLci8N
UMC8trjnkewf2iX3q77WwFE0Xebc6UTbmy1ivD0dSSJQogdXyMZRNgh/wt3LhwDla+q09L0xvfC2
GqtXSilwhrcsMKD0VtukAO6xYzCAGTX04OqBoNqrC8GKFY5cbN3bgra+Hct/Da4XPwkq46HLDbXG
/a0w3Z+N2VvnMsY7AgzIIE0YVl53aDBlIn4a37goNc/ZBLEOno2XHxxQy1HgmV3SbAyTIYHYr9N/
En9PCRsOzohfKRHug27JKCRHs5Lx3CwKqYqGG8Gn0wJdtlHKghsLxG4wAmC/azvSQKr5PIy2/apw
5WIjMMqSQYhVydbWOfZa+Inlxl1cjksOeOOzzUIK5Qzakt+SthzZYw/2hOEWq7Ovz8UYxMkcFRsn
Rue/QPGbT0mTaDSOtoNLAwYcm03W4v+rRdZ/t5rVJpCzwv4eadhSt1Y3p++TsngLeF8cSGPRjEfa
imz7EI2ojRxUi3pWmaJsc/7CE84hasSGRwBsITvLVWy0dOtB/wIb5koCOUQSayBOW2Vz7KXp/CpC
hNvJDreul+U+iCp6Rlc6ohjt+FVNJq1Y2sLEBvUZ+EtBtcmozy2wZvKjq6GWNAVU4p/zyl7UxZZ8
UIluqtH77S3uJurdYmcnAGQxgBJCWGq+2EptHFZ+YyQhORYY1WE6zn6RTOUhgk6XbuYU5GNaa1rA
QsPdmV2bB6usy5E7hleQEvAbnIFtqtsWP73FNF55Eq1PepvTAAbAGturHO9KFBEjQTwpjT8xdx4W
Y06qQO+9+FGbjeLGHBQ/Pz4UL5OteF3llrWUe9zw82tI38pT9wWxTBYxzdCMo86g+aAePj2mwZ82
W2Ssq18MzMoKyWcV3G4+LbcDabFoMSDMGqliU1HJdqNovQK88VX7ZPIUshZRZewbw6w+E43MT700
MJkWXiqbugzrARjODJUz/OImh2AYzQN7AFjPRDHmk72CPJcvpidwB7ALWUwBCRthK+YYK5v8tmCa
L3xiprh9cLW2QWTI5BFakfZQzUsULI5FWLAAorGlKdIJlMkOqPJSEkmiGZSOzVxqpywPMfJMcwKK
1Iml91SFRCg2Vojyv+GgzBsKayBrQblrYItFi2TJktQNE5IGC/hZOXb1bODc3tV4GWQwZLVOjG+K
x4DaX4/sgOjy13lwve5UwHr8APoHQrX5wqmWGnZFdHxgV+QpzOpFH6z8SWGV+mUWUXVQ8zzVxyHh
M1pyM6ZvzmpZK9hVpO+4xoo7YivU3lk4kryNGa1g12hlvHoYwcgmluxH/VGFrNFdG9MFx3DV3LfE
pEf8wDyGWLAWBmwEsGgLGFq/mg6lpeccFWjcUSCjPzkr4Uhp+QflT5OzojJiwGGGg/dhLDQW3kJG
EAnBw99W/cgIGaOPu6cEy+8pbEseuJBP/rFPRXvtLIKEoOZsMlc2DovNONXpPgGniy8lEqwBq/SX
dDracJGQjDO3ZHEv0/JsuITsVFMdC9Ncbqc4e44X9vo9ly88KGpPrUe+TyqtJyAAWEuZ8q7jA3CX
aAj9IHbYPeU2eRSH8aMF4xqjI/XZmgHkYoGb2I+HfNhMo9J3GViefdkY5b2y++Ja0BHl9wZTI4u0
uQ35MrOdXyqoc+AeuIvQusVwMaXyDom025VVfhg42LYp8yWOMnUtZau/0MROysbWobSzyX0twxFD
dQIIjsWgS7sIMTFiF3fs78iyU3cooaVN3hEnPwVR2BkiwLagBn0vbADfGRmppjZxl0Bv8/I2diH0
UdWq7G0VeiHSpFt+uJ2zb1y9+6xpPbxG49hv+rH0vpE0dk9ObBLkamT0y+UAZTFHjWOb04Ta24OO
T408gwj4EzPtunwFlSaLnAdHclc/FW2vH6ChQfxSGL2fLAobz3lYDvBdtfrgEHt5rp0m+x4OOigK
8gfaJ3j0svtuZVyDGAAS8OFlyFZ336aZghhjm5Pff8HME1rvf2kGhPPZgLC4Gb/A5+kXBB2AKED0
fGWjZ6nr3SMrA0w3VnY6DjO8cPEXUh2nEvQW8YVaz9Yzs/4CsIOT4UXlwmPJfGak7kTZOrvvnm/t
W/8FcZ++gO4TSBDi9l+gd/EFfa9Im0xbs+rsbFs7AzFia2XE9ystvv4Cx9uml82+27ne0ftCyxeN
6qKt9YWcV1YuP9wIDn2yEuk71albaIdk/XV9RdYPK72+/QLZ2yvTHlmgOvQr597+Qt5HX/h7QujK
x/wQwQeuu6qjlceBzZckIZfzFDaoCVPZ1C9DW9eHnLIpQg1ujOGjonz1JzEst9//Wx/9p/RRcnW/
CX+rq/8/Pr5+4+178fF//89/lr/i9v0/ru37r4/ur1b6r9/5p4fZ/sORwnOEB8IH2If1Fxs9kDyL
vQgkCH4R25Q/dyaG94chscvrhsFec0WH/E0gNf+gWnEtBvKEtCmG+lf0UWNdiPxFIF0d+Yij6K10
xAq5LlR+axiSBEdGY0h7MAGR6h5jJJGnxdHK2hf4v+5sJ3Y5+4yq2ZX6VO1svU+DvI+E/9uP7X/Q
SwkbrSvG378Tvg3Wj5BIhIXoCd7kr9+JLkbJWOWZJE+77oWM1uCH0guPY1SYT0OWeJeJa/tCcLQI
qwk6w0Aij12LkbK14H9KdtS5VfuKatfvAFxpS2JYRehievULbmFXgvzhcTEZZWfPG27jFMcUfhiB
nwQO7H3ctZz1YM2PlKK32Ie1BY9llIeB1mbKt4SDP4GcPF6hgZZrkyN610sQYKk740kYMm58nglC
KuXXEzwcJuNIjmV6r7QSc0Vq32KO1A6uTAWW3a633nWh5zcCsYZXU0MIGbJUc54kSW45Tz8sq19+
4fQUTx4Pwb6arRHQl+quVBYyKqdxljAiqOpH77jdcZBje4df0DjpFQ3pMnaHnYRbdY2kFfp2iV0F
Z8IpryC2wrojNCqjZ3ZfJIVTwFlbOzXkmzGE3raSuvkc0y+Cbz2zjuhl9JTCYbw0caTt+CX6HsKp
9CsVt4eOAq5LpFnqOLrC8Ns5x3wcUbLBne8891pyuxZXBLVq6gDPID2U5JGt3ewoERCvJ4IsZP8k
Gr2mrrWyfCdq4se8VOKNSS4MYDWuLhodtFRnLfzVGogu3H4KqambCLP706Am7ZWt9Lhj6IDIYHP0
t5UJcrGCVGYt7firKVI3IBRX3oMxY5IOpTbcqLpoT0lk2T6X9F03qRtcwAe31M5uE6OYT1BNR925
c3BNzcyjkbHFrL43C7JfmmhF4KA07jOLfrquk7AR43mVJzSfC0S27diwdbIjB5kQw4rDhuG+K31V
tMnB4h7i133b3NZZ1r8ladQz0/QV0m/05UvRfjgLyz13LOfbghpHAJg8TwmP1Y7CviyoYVas/03+
itre2+PHjF4XwvrlBtPIfBPZ2KIo7DXuwX0YV8IA051eQzht6nFiPclJW3ikAnJ4w3ExLPsahfc+
z4Xc57m93Nt9mAbNosHxsSQGFrkk12xOyjvg01EAYkxQJJIC52lI2oq4iXz0O3wjDBaHStX1S15a
9IIkqBllnsVU0RefFraCwFBe8cQihNF7pluSP4MutriRh5FtwGWKJ/tYYTXfl2VkgnfExkoEDmg2
ApwXtJHubqcprP02wnXcIm4HGeoJsAvqAjsonq3YDZYYHV4Rks8aEBYfFzbgx7KYi0MKleE0x4R8
B2uSd0mnWQ/jpCAHdbdTvZAZHStBQMCe9+sJy2JTGjeRG995vGQCmtnu9IFKSsK520gvh/OIX+fn
DBnlk9oauk+g3cP9W0JmGaXfcRtp3iLe+gcLYOSpHcf6pmTGPC7lKHZkwJlZ+bbX0t7wIaL/9t2s
12bWlH1sr4bhZ8tG54E3s4uIUbXfTQLjgKbTcItqjGRSJwPkBEHPT3Z0bbGdePiJ/KMkz3vBzUv5
MUte7qiwjnZhzCgFFMGtb0kXKpY9mMxuAE5Eftxq6Q57t7XFvIwUEIYRekzZOgzXjW5REIXaQAOj
pSiaS8IXy9bgNxcJBmNTAH3f1HjQYfQmbGK+FYY73GsmvVMrhrl96RoclBlBdlDBaHkcfjQHWPG8
450279Ggy5Oai/hbbZQjpuYIEB1Ve3DcJsvLdkutyoiGVagdl7jOxMmhP9XGLOZ9zBnW/2Ndlk2g
hr48uXkn3uzE6w9QiAobfRojCTsRuecehVaLDbj+TPD/12yH2v4Tu/aqwS79G16B4VDL6o6s6Gsz
qe5QajqudJxubCySAvjDCijdzJL1AHkQ+1vurN2nMo6qN7to86OXknr3dOUcQ5W4W7Zm5TE2Q5Wz
4Iente1ZFF2prxiNfREqRCmZzqN3qYvQyD4kPtHhwaDj6DGqUe52CFn1e8dH4T0MzfKlymPtBvt+
SQtHxQEdGC1frfAQSerUbjUOqdB+Yd5/ywpPO+OomsIziMJ2SzcXsF0BlXyrJ5YiGLI+/4Sg2VpM
buH6aVl22wmw5acxm+JhNQ+7R+WkeXoPWKQ69o6RPA5tw0hgsILESdmY4nYsvOYzKmi+QAly5GvZ
TNbPGa/Wsa9h3czEoc4w1N0Pr3Cwo4cmNAwN3fcSpvYUb+DpNo9mLORNOfFTzTLMTMTp7Y3dacBC
MlKf3+jSah5s3taPc9E0h7TUKBLrIlOQ245BF9KVON1YS2gd1jKSwOmYXUB7OEz3ysEIpufuXWeE
TnoaswfNG112pkjuNoD6gEKFkAna0xv9lW1f8k0JDA2btk6WjkVF1FtBUmFwk3rclHeQKNO1v7tE
Eeow9gW5obXIFKwB743SggtqaNF9rIR6y9vaeLY0ZT1WQGpOntGJnWlNFV3nWvRcSi+GttUhPMuR
P4JZS6W+VSKY51Oi9g01EFCpSBIwpWn3YjbZXjYDhSRqqT6cdenkjpqGj4Lyjed2wn7tZyyGVo4Y
IIs5K8w+WJYZkXuJR/akUFkoVQWk46soOoZdNf3ASqgIYs/xa2QW3Q1qSbFF0yFKVthgPPgBAw3g
/CzSZqt5k3uM2XLcQXqQSGhg2LaWXmjMYu4e5lJOU1yBdNZtM3ar05kVpWajNqnBPDjE7tWpq9L4
xDhDI5lpYCFjbJBPNpG0aQs8pFTw5BzjSp5gYfGLLE9wDC5y2lrtA79rJ9I52bfD6h2h2Z6uK905
4yWk/qNCf/TLru3e6lCyY07FfDRSs9+FGbIGrnZvVzZC22AryfdhtUR3YH7Errd5Ru24dS+SDDyN
9YjMCVls+yPWj1Nbvkl9eCeUvkmt7GQ6by3Jd6oBRngyMIy6H8yX1a5nQ0Kt5DRj4Y7n5pq3bJOg
5+SZD+PAveW6LfEG62QqsL97e1cjJEPMOccxI+wDbeRyL/TEBcwlx+a2SnjZumJAhBuKGka2bszX
btLN6lRVi7iRXjFeYxGTBRpZcp+BhGdP4wCZysx1fS+w0x/TTqRXEq1WF6R1NX+MZpE7Wyjy6avb
e6FfaqTzfC/tHGtLqwkGa0XLShFUxZrPm2AfpyGcIGw31Sic+Oh2LA5w6CgwIRSyHcSk0OGrtt5J
vLiX0hn021Q50AbUkL1MVWwRBI8AFKQKmejghWFDGYubUgNjusPaPy8O/JWB3lORexit0fjBsskC
j73yL1vATY+8bWLBgzsMNXp2EvptD+95DMdTRqFoizEBD3MeMPTU+wj98KKEIJYx5OxbVAgVbpS9
dnJTBH1L8+4aTP2oo4uZfwylE91lvBU5/VHAiGXa3B7A1kEYs/XyxqFsZdNpo/5S64l35YBrzpWu
7DPLi36H7X7Y2RMrtHSqwk9k/zzIDMu5m9ABGKCdIWHH5Ri8RWvtRZML7xA42uFEjXyp77O66AIn
F83DoiTCztSb1m2LZXibeMv0LlIqSKjFtvfAmnVg8oKxDBg/eLkOfzbrMRnR1+IIo+bkjEhfiIVA
laFuw5ahIFHW2eJfKEjnzAlGjKnPtenYgeSg2eR1Q0V8Ejo3Mxa3F2NobxsTPDO8726fV2YH84PL
Dd2NUXaWLNt4kZj5cKi4Y/heFJvU9Ij53p4EOKi8POdV/izN4gOB7a4fASdn2Jm3zZTpyNelOmoJ
yKwWBm9FcocGmH65y0mg/BzndrirmL4Q1OEzxksWH6QbqZNj/MgANPR9b6PB0U0fUQhBdjLmLrUo
fyWX7QwOpIhulDlOt0kUUXg10BFoIobFWOPFKZ7lBdTsOVsSeRM5NNTQ+MRuMEX02S61gMlrjBoj
Y4HuBS9/043qqebDtAMOXm3hI9coxVlC5eCY3UczE23YRvbZ7Qf73jYK9zTqNbKugYznaG6yD/m0
n4fZoe/cqlqWJyslg8eQYteZRwP+MZsoMR3CXEq8u8nJzXowLuAq3Ri47cgzPW9VSVyXqSM5ga1N
t62Z4sU2BcVSkrMJYnI1AKsoAMppqUUPgGjXtC4LLHIcB5vOlUZnhljs0d1iysISIdP8GC4F7z9k
oBcjpAN7G9O4EtBSrJ0JU3pvuqjtfRfOxmvrMrJ7TZSf6mkZfEMjLZ9rwg6E8igPGlPzOx4q65Vg
Vk02SqZHdnvjS1aG1dEqa+3BGAe8ikuT8a4EpwSuoo0vLSGEG0odUSgZ2n4ahsEV2qjZhVHY+MsC
fEzorL9MTXruilD4kHt+6BNnHyTBRcvwiiTaU5MO2hlLJIt5mhwOGl6M42QO3g07Hu/RBYXol1GT
biuDAXZ0SivoKF3zhVNf9Lg0sAZVvtRp+bBsbpF6ASVkypgTyvaduDVVGJoV4nRptWNnmYcpW7ST
TosAxaKqv8Ug1p2gokHJiTG7swYhFX1bma+NPt0MmR7ArdiZvfyWxequVLpxoAP00YX7HmkFTqn2
AGRgPZbwfYRGNW4ZDV/byHsrCs83x+S9RdjY5qSp/YienYd0GoqD1yMIcsyUFztTJs9xWx09N4Nu
FBcnoGbLWbaxFjjCJTALaRSzESSwNM6BiZfJEUhmtLdGgmtWmeDQLEcyUFzwllFrMh4OuFm64HK1
xEX20zLT6oJAigOBPQ1U/4F3pInNPkbw9AVAsn3kFeGuypzwPOWiCDQv6g6ewU1/A8DDuSSRGW7c
yfEXCs6OFM8jjjtH4F5nozAPi1U0QU1txHON3e6i2471TJ3FWjsy9oAJTbI0e1DmeDOgBLHEdlMa
VhfqYF805eU+uQe1WySN5MVCOSUVXuNj7YBEFjr1U5g93FEGsZme+qL5KCci8fitCNygl5YBL/iT
Xrt+Q0R3h8RUH1OXUoXGopbTzFqSdKYx+tjeSa/y98NGNGQ9Sa7JfoM41hzxVblXoC5iBzjS8Kmx
peYqrwNMLfpOjj27xZDcj1G9WWzKH+BRdtxwJm++L3SBScbVZLvr8QDuVVKSWFI6P/oMb4ozKi9Q
mhZFZIPFhSQTDTy1VBdnDl3stdVNlGCFWygitSgsYkd/8rzHiSJJotDXOQGy1ic/cIV9gKvBJ6jX
FYO42UzQ+2XUHDrssjuOTW2rRE6trqnpAdYLRWneCMOf0r8DJ9chM8TBAD6nbDgqOm2h3MMPLsio
MgIVyGn7IZV5q5XC23fOsgb6zsIdlw2z1o5d/bfBVKywJ9Zjx4bj4LE19PnWCuNvg2Uu27bSXkAX
iLsinfp3OsXqA/8/lkXGFocLxNFquI0xomiPOBFuKgvGS0oTt4NV5wJjlNoIYb7xAoeKrzfixbIK
w9dgDfnubLxgpfL8VLpsINt4xwy9bWuiI1X/MegYmEeO5o3nAP7CQ8FqppCfmWMeJdynIpu2sSqe
GpkwXgra6Zpx9WBbzq7Aw4e4sc/L+U2rXXqUVppuokIAPLmd949csrtdbic3aTgme8/or6rNGfXo
xbhS0PsMnmfeOhNBFCPXmRcNFCPHoIbJ6rBGNAlcwMTMkfIM+3aaZOe7OWmerE1DX9DVYHa4Ktuq
IlhjjCc7u7DtOdcqSfg4lo8rdxhL3Sn0Og960HArF29q/W4YPH+ojOIJHuz0RgvrKV0wsedcOKhw
mA6SIpZ9X9OGEOTTXB1xFg07LZNUrRixecg6LG/NMkbfI4AoZJYtfOjdExG1rbqapMqM5peDzkUs
muufweh7jFGGAhyGF2BSXKixgu30yXEPtpmn3E2GO4ANuD6Hqn6BnLccsnSGR5zQIhdQb5puyn5s
/YbCuYvpoJhxbSCi7SzycYlVQiH1Mt1U+DTQMk3ZHKUk79hqUwJmabpomB83nkrJ+Vl6tK9NWmQc
05mJAddW8jyKyb7lOQvMYb7gG+wuKeVbG0xlqF7HJTXdgN/bvXWdrR0BjiSsDvWZ4juimvUSdofR
U49emD4WZhXvnSqt91TjZS8adQd+w/oSPwHfV6InQYZdA6uwBlaac545GWJwGtuErcnnSZ1dFK70
YF4cEmc6hVHHpaaMvlHqm6jGCemAAiGZRPYNaLLMjwiqIxHnGVE75BumZTVZ7sXBB4kDwJFAs0TK
r8NVNfox9AqGFPHLQeradDBu2TCm0z0UrAZKwaqHe7qjUFKnHTDp6DVbSArjNyxPpSWnOuiSFHOO
Ri0j5EUWl3uVxdn3NgW+3WeW2FVMmgxU2eAXNidysmBS28AXNImW93iQbvDYjdFllPMZK432Epr4
etOaq0fQaYZBcEpgYDTdjLqkHHLbZeoYyRwyUodRGazGnajk6SwLgIPTLJ1bx5LJOQRP+/+oO7Md
x5E0S7/LXA8TNKNxA2b6wiVRq7tcvoQvN0SEezj3zbjz6edT5nR1Lo0q5MV0Y1BAAZGZEQqXRNL+
85/znR2/xdqYMulOzPLyWwJaYS86p/mCtc/RMVTtaYSctS0Ny7zI0o7OeEisbRPrdEu5Dwcg4TSC
/s2eJ+9QF/bJHLq15vBnEQAh6IpKcWKnLMmjyeiQz1I+ceOnV4lI+XaImiuiWDfNVqaF1QQwWGhe
yxtWnwz/NY8+UM+zakjW4x9ACatmGX/3HO4XGF3G7FkK77anYw4xcywhn+FvEZP6Gfqm9cO0AGKs
JanUzzBPiieOIW8phY/AevWFsOwTO8RhPVwFr34Zd90y10HG2fmIE5GvKyH/leeUw471ZPmdtaO7
82raSOneNDdDhXM9Qh4EQpct92ZPjJs9Qkd60fWQzTJYJ6GpEOgcOO5F5dLrk9Z3XmZhHWsml2Kx
7nmYYdGYUr+Afm5WGtj6NsNFf7eAMXnAedO8q8jDA2mG7ri1oBjSQ6mgotU2g00UPsWxD8bkmjQP
e7pNvf44JWnKDW9KD7N0vxKO/9dqyG59LcbjTjCx8B+wRTxRzcjDhNYjqMSdKE/OlU7rLvdO5PiX
2PUm7JN5HVSd/ChpRbjRdmLdktUNyQgv1hEni/Ed7yIdPpX/7nfCI+l9dazbnlrNtF5z87AIZxZh
nu6nQYrdNT+c1hICtlk+p7mw7ySx+13pGtGhpwtkx2A3bji8X7oEm+HEYgpwQ3cSHNRbrxvom0OV
3AyE7PdZWxp3wzz5iBjqKcZrui4z2D1K05QSGw7BRJkSLQWSYxF07oR1huNrnoQLSgbmXXoQXsRQ
TLU8yhB8yK6cHoTUXJy6xKo5UvMlQ/9xnjp1jEk/mlxEN6Y9Bnpw/Q1Jx6cqT+/mDtNe7ABynGSa
0LOSkbEgGE8Dh1PqLiBtxDKpQhpVm84fuCeDqq+OPsHXGBVAYx2Yxwi92uGGLHxdP8+USn1WoFnW
RhX7Kw4WCx+v3e4rvobr2ash4uKar4Oa2+JtF7fhPcSe5TB3DlQdv8uvpd2YBJ2L02JN75X/3Umx
lkzQQVG7t8rGYUqg7+JzLjomMe5dgDRJob/NffpqDxVCa4sPE4bXjZFdQmCP64UFy6PGFrySBlQI
y6z0sWmrjiIOJ/5my9TZwargSDO1uDY0JUmLcNdNXKuN6+F5Lzr/JuovE7umW3yv6SHlWvtOvX0S
rnKiwwB7NdpLb3MFRFSeip7CRzJJhbnxcPRGg/LWk9B7ciVEQpVNoYc3sxLsE04LN1iUeZwUeCFW
pq1MJEen3FpN4fMxgvP5ZjYxTlW3r+29N+XlD4HWwPUDqenEH5oeSm9+7mCYIxDKoOL+duvPEC9W
xjAZH9SkFBuehzibx2WAF1Pi5vPxYrzaiTaemPut08JX+RtdKgDN0dhjmDVxC089bxt+apW/O9RA
f8Rux1yHaOAP16x8Zi9HmPFJhnqr+m921ybnwZi4jOeMD4Ed0xjfhcsIuGPpEo6ZeW35T3TntHtq
8cjTFdoccEq79nMfi7jc5i46VRnRpoOSqRSUnErm54i8MGmtfIIms0TFCBPdSxTEBAxHz+Dz9Z51
FMe4spdJwEStdlhrE4oKq1ry38oCH142Dq+pW37EoMNXlLJ/MJYbA8mXKl2bjfzIOfCxcFsQrEB8
IIm0PSiLQXZUfOqK/637umxvZ8oWOVKa9muZZlxL/GuzvTXwhPwAvQhUh7hbFdT9YH+mHMiDhazC
3gsj55Yt63TX44dGHmMnrGFmYvrK7UvvYO25iSnONDcNAe0AEJ21M4xQs38i/JZ6rH1QusobjorD
T96dPijxu8FGSJOdOekHZ1KsIfNQkORQtrFKKfa67QyooChrcdCQlVvo2DGvbIor2iGDe8Tll0KJ
dB2iv64I7R+Yuzq6ZHOzObQGBRYSg9Raosru3Cm3zrjus3blQkJgFQ0YioZvTpWUEZlW5PLgm5KA
jeK2GfkCR4v3vYxNsDhNmGIfUs1mMfx+TxuzPJMp+u63KHpQQGFE9OPwpuqux0EGqAn2+X0fD/ka
NDHkMPodbkLICGCoimXdzK91ss5aTEaWrO7YCOK17xvxHNXNepgzvfWxNX0rB0owpggUX5/243qa
hHsT5lTqQj5bTe5Ch5ptxkFrGeFDX5vc63vnfQo7+NVpCZfI9Ad9mxLQ2kxIYA8qCzOIG6Wtnlg2
LUEcE44YyzEJusmY3sJO/MwXRIcM9+W51Lr4ViY8O2g1NG/IJyeXfvSt7WA7ZMu138T0tvFgWFaE
Mf1jgizJ1IET9SnuTWgykoXPhn4xqDyFNJMjoS2OBBEGvDUYYeY0cj5QTKbHac7ELrF7qh8mnwEN
/xUbxP2sKlan1uBurk9ql8EDWyhRxxpDAMT1xvwG5Z54Z38FbnVDfl3MijUknWFDGOaJyYxTSqf0
1qtqaFV4/YIC9g2uSvnO/i08Xslcp5zT5KpoGGhwPl7pUNxq6R2iy43d322exvaLSzlSEZkjsSJr
3rVd5+6yutbHehFJkPWt+RCPctiyZEDmJB9FExunFoKj5Rg+xsPk3CFX8qOkLAWJj6kjq2lxz7sK
KMZRc30rwh4zrUFalV5YV2KjAIR6KpfJ/Zpp4M23bF+YAdm6TYdR+9jX1cK3By31KVpUf7b6+t6I
lnWJmnfbTJ2zV7mbEh117OoYlRFiXGPaC/+BHvogrQVtL0v11YyOoKTEYaXiVlb/mWMdCDojD3fU
i/J6VVvLreCgcFQmHWvFTBhywMaz8QdaaUG/lMk3Pt/3WTbpdkJE4NHFXh3wvWBsm/BTpu2rqSgb
i3E/E48QMV1qCpkOcYf9nblWyqLtegF2Q2EL7aQYKnGULwCVvKbs37rZmu9TOimBo1Bz2cUMBtqq
jnjX25aUis3Dhp0553+qupOHrvEa5OK0tc5WxB26q8x7dg1BMvL9Lez5WeR29rkA4npqfe1+soHz
T3YvDkmfwgpn3oZ/7kFtg7+eiHwFqrB6NVjIQsxqYIaUIOXnVBhrM6P6dfRTQD1TOGQQbxMHKZgz
wwcaKJOHbKxzBMqZGuSJ8hcPbA+L/2lfxSUgw3ZS5jEqEi5tWkxWg2FTadYZb4RK9Lsfc96AdzKY
R9RnnjakfdOPELGSMUGNztYaRUqdsk00u+qbF4ShN7ArP8bJz3mMO/rZkjHEw8aGXs7jNHkVzJ8v
3Wyy1gHPPu9GzTmdWaNlmjIh23jMLOvITwbqzafy4s0F6cPSc854eamhrfORZr4MwztKXxeINqpU
UNYjnowRTvbIJNoZ5MOs1a8DToYsESyuvrDxEthqK+q50qiddp4haXuMDW9rNJO8VMocTq7B5rXj
fvSAycO40s+SNYf26T63I7WjdCd6JfJnPTcZUAyKCKketnITMwfFNdsWyj11rZkWd6kc0Z1MCDYs
vLp2NWqgUomNmYiI3rBJyhmhfUgyLMZjtIb4I09mnwPXKCUmn3JxJHE7z03XTuOUG89tv1IBQrur
wqYnyI6dQWf5spGWeHLR9leJKUB0cTfdsN8tTkYu7+2hXILWwVsp7cW9m4nJM+9P0w+KzhvS7N54
LQ8OR2Dn9uLfUe5YPLCk9R+loaZ7FtjOD+kBrzFmh71aaQ6HVLvzAuMph3Nfxd4jxGxjP1vda4sO
nd1orOy3BOOyACeN3vIoxe+SzD2AqOIBNkF2mjhz7VLacdZq9L4BgAKVljYJR0lvSp8b/Dr3Iwh5
SgJ7lX6jvo4dAdQyzE3JNXhkLbeaL8SqzEKo6ljU922cXVnl8cEuEuTI0PMOqW3f1TQxrnur8HZ0
DpZ7tIxhtSR1wRUxjQdRY5whVIC+qV0XXJI3UwxYalwfUDdeDMd68HT4DORqvI81eVs3ZIrLaPZb
F+M1MjCll5g9YYIbaqc8AP+t789HiuZQXvOpvMsqTPilzvYWx9kLXdDoBgxRJ38uiLMwPFm3tetX
O3S/Dw/jrjLnYxSxMPIMGz54wdLGBL2+S4ncvsa6cWGgFf7WVqp4Fr3LjatjJ70v0/IgKqc/ogng
CVH2tE6EbL7lGW+U14bdDWNyAzqLRTX2eKe93tIJnzUEMQLyhOmOsnNsHVWPbcds6mCkUQvAcz9L
8wa+C+0fyswv3Kax4bOSnzY8OaqAnaR57OXws9YCraeN7F2YjEh71KXXd9y37BX+r/mAn0CxnY6m
pyuj584r4cDTY748YLHMNwvs73Pki/Kh4XDxMHaz3ERxUb/NORHOm7ifhiO128C+fHINhLbAU7XZ
dBMvDKUo0mGTceUvzZn1kv8CpG1e10mFahBXxjorZbaxSzvepyO9iHA95UUkTnJnlS1C+RIT9fVH
q7tHG4g/SKaYVLXT/gjlPpuwOwjnODutesXOPXE/W1pUw8mmrBjk4ooMRI5vK2GfYCv/owl9deCg
En0gEl6bWq9SFIm7S8IQTouV7u2D171epaAXM8SVBRrW7N6W0JHfUDeSN/xpyxltw9pEfmhsFu2n
PwGvi4d5ctgchFX+FKZhvGEtwHhfEmax/Np9tE1hbuO+sVfSc+KHIWJ9vqohjB66OM2+6B8bHkse
ryxm5vDc+I1NpgDA6K7oUrUxwEIcSJFaQdPyrGF4Ls37PJ/HN2QW55aVFdx3+EE0346qPbMxUI9F
zwBuVHP2mFXGD+ouvMDRPD/BzR3iiEh7bNn6HDWToKlgQFbMuGZIapP2UqTmMQbpAovNIvdtltI9
4xjDw0LtD/r82Ot1Xrp1sGiEjDr1AZL6UnzJ1AuPOHRgR9UGXcVg2vv43uFwQDZ4Cg/Uk+bbUTek
3ydGfUZn1AK2UfJhrNrwIfUpcY4wAjyVYfLI05Uzj80szePX2kF9d9mlxdmRNuLp2RkpeoeDz+LJ
yDt21hxr15yRsxc/rWfEaCOMXwe6fNIbP09HZAf07QVfDbcomE2Ba1rq2Epn+V7WibP1YrZ3bVdY
K5+Rc+Wn5NPY7syPqGHdzrZJ3YzLVXuvzb79wlwzE86L7MelEQuoXOj0fG5QAmTiU9g2OmgabGK4
VBuiAMWIfNK66AqzA8sDW17C15INdjHdDUl3ASjf4YwjKULxhxfgJuPMGSXGtmR189gS7mBihrFg
qoaegdYTI/wOdu9fC1U7PCmW8jmLeQ+u+FkoKk61r8iq3Om012cVttkhFvz9owWjIMFh5fGWi5/c
cIzbIYQ+snHya5qd/mHuQf8Tr1iapjKfg3gYbbGi/+Kn3VThZrLD/C3vZmAuMO6SZydn/2Hjvron
Vp6+Z3473NkWSxd0Wsyw2WDk3JHS8vL/xC6//VldbeTt//oDRP7f/vjL9rdfRz+r/06m/JXF8TtH
91+N8G37vfg9N+i33/Cb/913fjGFJXkk4Ox2XEAh/84M8vxfcMXzZzv4cklOXP/NvzOD3F/Ad9vC
dx1+8xWx/Q8HvFS/CIn93XMElG/LFeLvWOCdX1Ec/+E89xQcEsz5AlnYdxWv9ScPfBW7oxkbrUVl
+EIRgTkZsdj0IrTSrVlhtOQyWvJ7j6BMjEPL8gh3R3PHlEo1bbGKO3eAYGibrl4v2L+CkrQL5SgU
H1YouHSH491WGL99PWykEOonMAVWYgZP8YOygdIh2NCNp/wh2TtltEntsr1XSSkvPqrSXcTylOES
ngSYimTfRiE7aakePVW3oNSwUprglimclt0tPp+g9eo1gaR0AxXl4NIl6NZ9v170uKyw5pXUPHJD
WrRXBS4C8lplPW5bG3NF1fi3YWSIu8FoI7p643eCT8lxpl5mnWJtwgAJzLyyrU9upPZqHNoPXGAe
TpfEu+lam3KdKZz3+JC6y+L74yFLzPgT+uKwymfRHkrRfXcnw9uZrqmDtK/Juvu8ppc4P4m3i7uu
mT6XnsUwQWaOB6lx5zQuO53lB3P43oisNf1pLxPkWabjk+Io2839oVBim8SAvpk7jQ9VeWMQTtZn
ntfbVmGUz5x5B/ivWgFEgEyCWHxFeG/sDKsRsTtoKoJiz9ieNp3rvtLHckq18ACRrUnv6FXST83G
jxqPhg5jOIqRKh/ZiENRVDOGR7XFKc7QkXf3ma5ZRC5TWwCoZCkOSeIHAWr8HtoxL+SQ5JmiGVxl
WvXvRSvx51bOEH3QB4Nvge3pfdZb3FDFSEug7o1t3jfeuSgi94hlef7SfkcRskqshql1Wo44jMaT
jrOzKerkS+kRe8BcE/amj+SGXCu3yySnhD3rmSA8zBuNf8gwQq0EyBYiCAYdbRzWQ2613n1GvHQ9
OsuDF1eXzDW3RjS690uRjHvgeMkxaTq6YKkklvc4pZs1VTcfFA5NAXymd0iuw23rOntD5oT3Btlm
D67bY5LHiXScTA/hzsHHldYj+0QLrqoq52NHXFsYyn7oorYVJ9eFVcHypRTNupwNQNIFpJI+6ArO
/isjH2nBdv3cIbAw8MOu81px3aXOtbGSVUeRb9QCdHCbJRAtVoaRygcalny0IKto2bYkVolPz6Ho
btXTIAOvGy0u2rQuCEPsNXFypZdWobsO83Bk2ZcKRvjeoEHxpiQUGp1guxfdrhd+3a1iCQ/9Js1U
Ur/g8tMJW7bSgwOSFd51IjMrquwGr+RxEzNCEyzAiHAMmzgfAw9flaDeVWuP9SPN7fvMzo3qq86S
xed12RQFdEjmPmBVI3U4oISloriK8qbN7EMlWIFRsamrtpxZ3lQ2EsemQ3yKg7AwvPazAu5fYJTx
iA6Iaka6B8VpvwNan1/KkSvGB5N9ryPtzes0FITOiZvEFVzqkcyrHAz0J46WpDnpTyfpw3GKN8vN
DMwcatPz16Cv1OQK6Vi5y4TVHqjL4rElyPBzDJtKYV8gkYFXJRHZvVOlRRosvSq9TdFhNL2L6ZSf
j2hCMTyYCeuqxLtJi5rjLaAzIybgLX2DrthjOezoytZGnwQ+JU+UjhdeiJd3EByJfCgKdCvGD35J
tyFbHF6wrzMCnBitXso6dnvqyydt3zSsYfNqOUAyktQ8JfFtSTLm+1iCvCEpMTW3fdXip49p5tkX
E+ctD1XWjluFugTzrHOf4m569cp0WrdlA+fUHhs2bXF+sVLBbS+JSIyUZfeoXLcKhqH13iLZcLa0
OrW8C3P5HJ0eY6PZl99CQ69rv1wbLT3ABfaYo8Ofq2+czhQ2gfJpHIpTp4fM2voAqn6OuOiuZsAR
NnSOIHyedS42RjyF/TYa606uK5c9yEaWZT4euWt/Gzo10RUfN91jWri59RDmzRAGuUtfLkKiw5Hy
CvCd2SdMD3aOHXEH/ZxaBpO4xmNO/90nC39h34yQEOK1p1XypCEhD+8MBJ0+LLiC0FWHpHVgckNu
SDJY6eP0gxbHEGwP32U4BOzz8CvXSyBCegj01A73XUeznTLYbg7WNN16FnymrFf7MHbSi8fExFDK
OdFYTBdtLZ/eWtaGl9owAcaApvef2iWfL3Ooi/wenlH1o7Rse9dny7gPh8I18KR6xXcHSvsFqDbb
FzTx89QVAwdckXo/Is67L3mCdZrICv2z6Gx9mK0oQfS+vHxpThSBjV+ga8Yek2bl5k/Y0jnMusaV
D2A5cbyBPp7mX4nnYDZOjdikE3VwHsgAOy/FaJBvHhLpBj4o4/wkcMdzV5jjjVH6+qmKmprgdTaW
PyWQ/q8BR/br2Ehsr42KfQg4BTZcpB2G8WRiDDUqVp9R3hq0d2XsG3EENsWprCcvw9NTKYfltzFA
cDVj79WtIstbpa0/bVMg8JIi5Ex9VoYeLk4mvSezKvNTmaD5ocyG7nOuhf2+9DxBkpm76o1bzNGr
Mxjs2icRESCac9wZZM7WnnRh1iOKb0RkCyyFstsPSmZUjSqUDJtwvcE9otIZ8AJQr3j6ZkVIyl/a
5ykWxh06CKrnFLXoTE6UL5i3DGz219VQSWZ4aPL5RpsE69gfzPkmzmE/t91EJcViWa190emQvxZt
xJeuAvt9NVIOIR0WoY/J379SXdnYQLPChyoNzQRi8vyjItcpLyi5xny2HZYSFwPgNlomgPYhMBDE
vZvWcmc6jxmhrsT1K9iFZvMRUozHlL6NAAxFp6Q0nHk1lONwEXhQooOqF9s8UeCwsEEnBO0hTVQP
fjXVJI9SY+4fiG3b9bcQH/6EeR2vR4ru6hOZKDMueZ/dOSZssjAZuc/t2DX+UzgVziXl5IJqEnLf
B02U7ChKs3a+7cFSkInc8TwrzsBwsW6RX9kSImMlOCMxr420XU5tqLzupmRLckywSjeQgBr0yxR4
w8fkOWAC8ARxfLDMu3Ye2b3q8MHkgl/pNgk3nYNI2ub18OqJvjnCaIye07ahNaUdcSebtRM9KTsi
xMXppuQTrjDZUC5bn1AovGxrKZX6O1aOHh9r3dkWvbSEEe8lTvUz6XQLm2lsPasRkvU2TwxoHhWd
KhO+ZwcWZg0kfm94ofVMH3fCxzzPLkCUue8fJwvE5l7MHhOiXKJPHnPcLEMQBBAFxtiKdnlihhvB
/PG9FoUPz9PM7xdV3TeumLYt9hBok3UOHnuxTxjZvXXZ28dmsRGuZfdEN0YmIFSHxxGH9XceGOlj
5Mr8s+7rYdtkjWiC0TIyvCk6LG8YZZrPKAImXVV2uKc8ctzlIFeSoJ5ilzVxomn0MVtLBY3lXjUg
/Hp6y446Cm/tmLheW41oxONEuiLDj7pqurn6qNv5owMKB1FKJAUZTFPaDetE6LdrxCnQA78bzv6T
uO0f4YR/nXiuUN7fpX4t3I5mRXJjr6q86SAltdQJ5Ub69Pdfhriz7yh6OVxszH98mWEpyioMjXHv
Tpr9MwGIFIBOo9x/8eP8kV58/XGun6+gzslkIuSXf3wd4Ruyw67Q75e+7L+n1ye80y1MBNHs5XR9
G1nyMx/QStihwef5F68ur+/WH+dHMtrAk+HNuky3f/4xoVxTB66tbq+gvAX4NrpH6RVOQKZ24Uva
5hevwWKUES58y+YKmYPTBLSpp4XThfr1mCEiFuhXoQc8x3aZ7icX0r9jNcgqJryQmrYYGHc3xpjk
51ZrblWVC7qAFt+KpY1/+uef219/ICZh02VkNwUUePv6fv/u67HgRqXnp6+vGPsWT0RGfSbbrGQ0
N+SMfZ7xEQ3F+7/7opbpmIq6ek6mjmv+6TupyR6qAYWGF42Wk+VanKU7tMPokLhzA6D0H1Tj/+QC
+CMn+PqN4cUELXVoCy53J/nHnzDyLVlS59rtxyUxNraWn1NmBIU5df/ip/rrlYbhnGOIZ2PeUyDH
/vhCZK1EXTVJuQdaKbuzEnXIg7MUdr/75z+R+OuHBmBZMUVyTJQYj//0oUUZXRv2Yuf7DjryMe45
UlACFF+72X2rX4NAkxTAIi/6PPLG9pyNvaXuCeeteBDFn/2vp79aYDLAFxMuu+nX86H+9az4z/+q
f3lPhJB8tXyEHd4W+4pD+P3XK6KCptOVl+yh/Jjuvvb67n6qJoalv/06EF9t+9ciONu68md//zpO
E7dNFPXxvgwZBtaarTMtWGGeH359nf+yDsnfV0j+2/9HoqDlS66bf1x2fxEFb5L4u/69KPjbb/i/
UAzvFwvcN7IYjQxXKgafzm/cYM8CMc4/dsBc2NZviPH/EAVtaeL5vop1jnSu/O8WI1v8v/8HoiC/
w/E4SLHtcbm2/44o6Dl/xlFIE14SWRVlXx8opv2nO0QzUKBLdN3a1qFQT2mklnU/x+Vhwqe5HhiP
t0NTvMVZQWu89Ly3BKkN4qvdM2zwf2pbkiK+jSuVvaRxnBC9Xpxb4ZduuJ+WLiZjIHXM+UA7zotc
RhbZI6zxU0gFEppVh48482egfjjxX3yC+F9L5XYv8YKj9kZZ3Eoc15juWerlN35LhTn9VVmAvV8e
Jj3Ih74dm6Nqy+qA9MaTA7/4PhpmNHYhjetGcpHqWHdtekxz3wIx46nyCUlsMffcSIyjmfJCK1ul
A04NB/EvtovwmdNzsy1swz46fjW8N0mNxyU1vIxR3J2Ta5uI+Rza84gH0Ir4s60Kqz/hRZIdnPzl
p3+9/IhPF9VBtxNtDIOT3S0y1eombfvkZBapq3CR+axeK5eTEN4qfTHqa8cYpyxKILjLBQx75W3p
KWYQE99bhmhhF+z+kAO/MNoZDyFQDWb+JBw5FNoF+wwDDwOpt7m5i6crqaMxvaIOQldhRIhiEmDt
Ms97h90ejjR8/mgmzGGk1OjX6t3qxBHJ3qeCKj+s0qYVFHhPdrK38W5O1lfcXWPwToxHGuiB0rvU
yJh2Kt/soRZ0Jp9u3Psyo+cYL0nLNg3nT+lu5s6sg9YV7N4q0w0Gy9Kfc5ejJqUt833PyPdRZ2J8
E93gHFBGoiOyRHUhvSafKfPQt5mdpTZLG9M1Atp2U2MzER4g8aAwJKzc1LF/ZZPucLP5rASp/wB4
wgRuV5SyIQe7J1Wm48HuOiRKu0ZqTI1xIxxS0Nhe86eitJE1TBWPu0rirk8Wg1gnXUgmQDwbK5NJ
uPlck5hOYA173a2tPetkN6QwwJnKGaQAkba+XegzK0feUk87eNSE4bPOjHqmrQxm7imEPVOYS/ju
6zI7GJlSby7b9COjd76LpJa8TZXw71h9VuaN7cKiv6kHtLNVid4N/sFnGsdASIAFwWFE5vbahYJn
9CaWmw4052Qe9INRkWHw5nRjjomxtuvmvSaJD2emKtbY6YxvjdITtq/qYE69Ebh9WK3tWZ07alkm
NhlB4ePiDLV6CeNkU/T0c1eVq8HSuDF9Od6Iv6j5ICbe3BWOfmx0/eUnLfVYVrbJ/R4WHpp9t6jx
XCC4uHYNzT8Fp21JB5s2nNtzaJMZQ9bHYhOMUmbluiEISVZ5ooykoiYDVq3bIY6zA9ZOsxpNi5O1
KmKSm0tXUOKHLnBFGT6jcZW3hhkz+hD53eaq6/tLR30fmEIr15CPTYNusciYvHfghRmGIK+jhmjq
ovgD761prrmbkBKuzAVKrAflLt5aPW8ObuvcmNhzjPwl+U02tDUr6si4WmNvkM/tdMxC1M0+0VwB
donUCDywN3wtuglYpq225qBMVPJG7IXGaD+MBJqLCLIEzL0wfHZ5a1c9WdObEaBc4BFO02vCd3iX
zBzfIbjWPoDIttzipjEfPSoX3z3RkJGS1IweIccRWHTD7D6ELBuYaZV81eR7OszFNibGpTPnAJre
tIHIM05E+l0ueGvo32oMlbsmoxLoZliyZDeHCXNYlUUEfltX3qLkO7Tn0UREjFK/Kom8GOqZmEs4
RkHB6mOT0+H9aOZCvxp5n7GBYeJZyxQXdNsza/H+t/cUgvUQZtmt/4jw8LKI93dLZB/Zb8+nzszy
Vy2jFgfHtOuXzHhkFs0g8XjZw0w139lpzeUsjazYepQ+3TflqU66PbLIDOQI3BHwpeGZTdUQtFA0
5Cql7HKPfdu4g/dp1keLb9N5rHUOS5I7/CrrfXFQY/4W+n73Bm06+9YkfXXL25xdKHVV70AwmdMb
rG9EW8gGnaOY4E08zAiJMlpaEoXAE0Yy56uWJBxx0KVc1mPYJxvl98d8XihqWwa7oUVuOWq4dAk7
bz66ZczyIF+K5TFcQBivCJ1nLx7Qj81cT92ZgjeWWJQx4V7Nl3pFc1L62VDrtieKyodUGHbymKuI
b9n1td0kse47oNEBcKB5J0XtfIgxnrdOGHHrw5g9Q2rL4ddh24ForjA/nFzcXtcwTr4dRh73tW4C
AQ3piokfH2K/hWPbGVG19Twv2/sUMG1DFderJAzzF6Psl2fgAvK0WMR7bgTR+EOtsFStSpDh+8i0
Pgm5Z2tTjNkPO/aabLOQNnqeiDlASuboUa59gJWnqfbSW+lB879pubcSAv1uteQ8Cb+nd6nS0dnC
A0PgYgkjnEqjn72P3E9TOu5My9hQhlRd2JsLRpomWZ4q4NJ49qqiP5itdoCxZMPzlIpPDbFw2SYh
QHs3wijs+m300+27KCidK3p+lrgb51YRcFKjP7F4t+Q3bFrjE3aE8Xs4uQk3XQlFGAatyWLCTe36
2QVH+jO30JN6C0mqiBNWBkUn3uJUSmenKT89dwhSbOj9YIqA90DoSw8LtrxXP4x+XNOmXFresSFV
uykk8cPBiHawGR/Nhc95TqvxMDfhHTp/c2OmJIG9flwwLNWzfMw0F8mu9xP7OJWp8wiAm8B828tt
WvodPK+UQwdewfZHnRZ3qJp8ULPUe1kb9raB30V7nTbSNZDlfF1SiHeBvtdy3oP/igHdDyhwHp9Z
peSBIKa78kqh74HFT89ZTVGhkwHXpHLNQQrMSR9UtvFEVHYzqRluqym9y9jaxZ0myYkelKQvYp7l
ftBFD9u1rD9L0Igks9qS5c9Q7ia39F8dq5jPoXCqz6GVU4DZi4KU0XHmR+R4emMxVQa1bHeKMsdT
XPVQdYa4effLdjlOWLi+XIzCqzq0z7XUybGAz3Eo2Vv+oATjV6c/LemraWgJ9cyDkRzppY4UJ8ls
+gpDczwtWIOT9VQYzh0JNm4k2LF+FIOWBFpb7xiFRrcdizG5d2bOUSIK/cDtBPmj1IXRH/rsMZOS
VWMI+7/5P+ydWY/cSJal/0ph3ilwNxKY7gd3+u6xhzyWFyJCIXEnjaRx/fXzUZldLamzVF3APMwA
DSQSSEiRQXeSZnbvPec77fhRuDPkMllfd56lcIjKNpgMjeOAghmMgT47Y8jKoJAPZw6dRMr4pX0D
Ax63s2RZr3TNxnySYaRPzpOK32mxf0jDv8E32m7B5jO3t6NE3FdSYu6spW5s41o7sSYWBGojcX4E
0M/Us5rGMlnrQ5dyjPDrGXq3GrZgvLR7jxQ5/WWQsyeOfdhClnKlz72vcvsbh6yq22FGMS5sUvVu
HNCRC2eI6uNc1Jz9Gi/zP3A4kag4N+xGrd1jMMwdEdhzN1/prXZFuqJzz2FyOqY+ejRLb/HqNYnP
aW7xfHp0XRnCR0YLBRTfyyMpAdG+aBHNAHwNg0GlJ8uR7jUrAnkmdVSc3cjsiZ4AiPWMwdg6m4UG
yo1z5nzdKA9hoNRr8QJxHv52YzZn3lf6DoQyTNumnvq7jOxL4s0EJh4bECcSPcjm5ibkhMu0G5so
Bpgyf5hBpGHvBhj1ghGlOFvtQg3H9+1cWxUnFIIY0KBxWC2WpDa3usWD5rjrtmgBx7bOkICBqqHT
b6JZZyqdhTJ+gvDLJEJK8gZi3daOkeCIAdTsUGV5cc18080D1UI07l1x50W6bXEAszBspLgJP7wp
Md4j2XlAUjLxghmlOzDrRWeNVQKbfBERTIDAlwYIBAty5Wn6jszcKiT1MKAG77GdiFBeNUxlNyNd
vZVQlbe1a2fnw2shukmirtUQCq6nNGx2rFpvqKAUgL+ughhhx7vcQ/sxJmoXm9EtU9xvNa2TfVhW
2mFMQ8g4CFl1GS+UomtUJf6qd2URkFWiHvSh0VBNw56FDR8GmR5a5A9nO20pMZCP7vki5vVQAZjl
bMiVQAApv+nMlIIk0vamOwI3zDhwUyJnqwQIYuATMeE3A17eOHpUS/QV2b+fNY4dAPd7/GOpglmL
6r4avCsaQXVQ4P63EoyjFCPvzEPOmZMGZeJ469lP2Bv06FVV5inCLraiPWwGqhNuMA81Kb1VrA4i
I94UWD6wWjecAzJ/LZBGuOUzBINB0oOXckmXXg95syVLJNBz4i36Gh9zvFfoOQI0ADcz0tPbwSqq
jUvmCFC+2d5JKyRXavCJzBwmeMTUTdYxLdvoPpSMGmwQw+uohole612HNj5Z5HISqOAM841DqTb1
u9FwoKuEjgEFPM8mC9Fo5wHhg1J/drGcJWBW+H69BgBVNmpMbiy739uaCC+dYXbPbVqiw47jnIIl
VVhWx3YSMpjNvr/L9bSIN24k/Qsg9fEN20J4at15cPYNaQwcaJxnBrPQupRGQM/aWEJBgE0Yyb0r
oxFjl2XNeznq44qNQ3+KyjZ/IJ1GIglqbBflRZa3RyGE4gzqtQ1LXi+fbFs9WIw+d7ryHpXKnBML
DAOrRHp7ohjfwPpZiCwWKcCYrrHu+fAY9P6rOXWxyelU966jzkJ7M4elWui5+QvMa3eRBNaErDRh
/8qblawZXSEIKIp4V7ijuxsntmqHad3BjP0Ix7k57pVHl2DlxYa/ScxGnoyINZ9VSB8ukZPlLxXZ
kbvEVR2ZDKIVnz0OLjZi4SIf4TVBEfif7tt/i01rOR494H/cftu/NdNb+XNy1x8/80cHTohPQGl1
XaB9s90fO3DC/gSClbAfg1+BPG/pxf/ZgbP0Tx6tN5cO/RLbZf0ApjXFJ9eiresbJt235U/+/X/T
2kS5+GdDHinjT//9N4jgt1VSqvbf/pcjkP79MFVBiIfGD6u2w2/RPZ9hxM/d28wwEdlkmAzTJaiJ
ccUAuWEuiy08tvQ54vl6IR8lP5TACbKVX4ccmkfbAvJW93taYD5KtAaWg83/A2JM6l8qzh7P5lCK
63nW7c+JE7YEv+rWYSqs9L1KNAvDXzQeSv69dwsHNayH9mBa14ayP7JxhvDAEFtdu1j5H9Gf8aYQ
eV9iYJKUhp6bP5q5MQSer5vH5fh/29YWyXu0WQIVuwVGTpBGrgzTCyqh9tgw8rywRxD3khYEbLIB
exDrQLLVvFo9qro0VUTjCDSxTuaZayulpKhyD+R15NQSJEMV4auzyl3Swr+xRwIPrLrLNpY3Fg+J
asSqx35z3TFxASeOhC125GpKXP3M+V5eWVA5jmOu21uHZs+1bfb2thdZ9tArXV1Vii07FW4JPcpu
mXW25FO3dX+fl6z/cF0QYeeMOLPOuQ5BiqPWGxmZjp3/YjS2xZS47NnXTaThZp3d5LnV7J3l5KAa
ueRCqPnNL+x8xYkYwzfzpsAEYr1Ss8g3YaPob9i6+TnM5DcmamTOlwrTMDP1bHjR1Rhd1JLrOMVh
++iHXfjVmO1ZrGwPGgMYX4Mx9aRjOD2gKynabWLF+kvhE1FBs2SJIPRmMb6mUz2AoArt5Lb0+vCc
kO1z8hHXbBqJ64Wz2+wlQdX5foDsZiKvV7M0b61hv69WspvBnPVd8c0go2cf9gYmB72CttK0VXm2
lqzFcHTqh3zivth1oa/bBLfbiN54jhE54Ly1rsjawASileoJrjxyNM/vnkSfJheOvFHQ1tq96aby
lPaD+Q04hrMq0JyPq7Srcd6n0TTemWb6EcfeKwrw8Eo2M8YzsD0nM7ecoBsgJ6xUWhnGonNhvxRC
Old936X3ceURLjy30xFbjLgpJJBhLUOzURoxsveoP/fQkN+atkPFbtrDPko8aE+TzA7QyzZkzIT7
CqFNtFqCaO5IAqhuBjVM28l1xyPKIOclthoXTuvca88icZJLJPPsUGbD8FowHSJiCAlATIUVVK3n
nQarboPEH4LMde6S0ajvrX4s1n6X929oX+qLM4JuaKrOepG9jJj29qRQTFYoDDSdiGXsgs5twF+V
11Hr+C71PVnmVgyRCbeWvHHGhCLEk/IphK2Nu6DQO/D2qOzWeiGzbUqoW0gaSEobArcEcCeDyDhW
hxsmFWx8qOS4Xh3tJhpHY7i4RSKO1NNTQLVVXYVC0QRWqXmT4Eu+kiVJLCpGMdX2okESRaWcrF0p
XbKOIqxoYU4RgfbN+Oq5E0Qb16mvTGTwDaDgmqB1x8Tw2UMkQRDZtjQmcZUMn5MmLuudQSJjvuY4
n4kAMj9RAxDMQMBaKeIGazlfdaBmr0yIfZsqt/Rth/iwRCtG4HIgEeN56zKN5UYRXJTgZdO8a0UH
DXciS/GLsImhIYaNUKsgcxb5DhkbGnlxOc09DG8uyKUGrf4ZlzhYJDuGJknBiNte68uPlnYN6Wlg
fF/txhmdVSnb+GUkpMtesSBiNxFlKujH52YnXqbSViRJaJb32UD2cI3kYniuYfKXx4Q+kLtC+TYd
tIGg6J0qPMtYU+hr71E1EpGhaFk/d8wmCFYgyOJWX2oCq5qWRXsIJxZG2muoRwEtbDEYTd3OM/Xl
+Gz62osbjwStZRW+4BVTEiRpqNcLfY/RmVQXC5jL9ZCndbwZR2WNm8g08Kq12pA2u4leHBMb06ke
EiLr1GrwZkobDmjtu97M5DJ2nevGGIYdUz3IWNdOopmLbVdI1UDCjmlLpzXeDT2CnIAzPuteEnAn
zhrFLXafoRts0DMEEdGc01x8V60TgonIjZTuLZhjatrMONJ1cQ+GoeiAt9jkvjWaWz5hWm93FZ2k
fM08iuZJNtb5fZKJ8KmDrXaV+/a3etKaNyfx722QI9VqxopIpZBX7rbTC//YOd34OpGEjgy7691X
kiJaD6xoNh10N4KhlYic2ZTRi/swIz/oNspCjd6RXRgkyItm2PqpzwdoRKx2We4rIvco8gfKnCL9
zFRjPAGkiy46MndCr3K7DTitEoU1EC7y1fDYVSx/GIkKR9m9iWGsEgrWt0BebQP9tSo656BpSBXp
bbves6Qr9AiLIjsNhTChfwDYHIkxtJFo007udyGS588dpcdVRqhNRCybniabEuXlM4AbrlkgBjji
TbHJMMdHlqxaGn/HKs/rJzrXhX1IsKnKdSiw660tnyApbMAAZrKSG6dZOR5jTW+5QKeP8o9a60Gk
Arybr8HX8sao0Mif0jLvTqyhxptuqOmJWR0gRzIkmZGIOWXtJZlwTYIEVmAe7u7F5+fv2p5yaBVn
/gDo2tFe6pwdypwYsxUl5C4Db+MuTEr/Es2j9lmXfn5nW2jtwGLgeI2VVVxZeQlhvkIz9ZVFV91A
SqJqowWhLn1vTyqYE6t61bJKHjBI0dCtLWk9OIQBIlCVmfZeolGCX+LqzRLcuaS9maHHUYGBRv6W
xHKWO63v02aD0tkHjZFUTb1DrqY/q6Kh9VDq5VcR217xZMDYsgGBDOKeLNA42oqBhkXTp4ADVFZl
t35soCdWONlA0kfOcArxO62Ae8Z3g4ppVuAxRUiLgA3Db/7OvaLamUdPXoZWsQv0iv2dFKn7rIk1
uSLns2hWjBmWEZGkQ6qJjFaFWWv6RaYLEgdhsjgTugqDdgyFiPZk0fsdPCaTzkDWuZEKyEdRNwsq
ksdTmG2yNrM4fA5d4loLfyR8I8n5VhHdy0vXju6dGhIfdXrCfU/Job9FwDVfzaPOiqp7dnvfGYCj
Bi8kmFHpuonjzQB0MxAjfUgWqiV8YmuJMJOsEcxSBdK/ztgaBKhB4e2zZJPOOhQURBsw49ImvXGp
dhGUe6X5BgKlumi1D7bCYEpw7TYj34ifZzUykJFvSNoy2Rtj5L1lSW59IaeBy4qweV+A/Q18v/EE
YMIW0ReqQwAbeedfoGChNp9rjcVPmdfZbKVX+eSQl6Y5+bxLh9TZs9PKjJrRYIRTpMyodhVi1HMI
Svg02sry1wxZVBokSdy+DgiNUTOjVvyWS7/4GuIXPDqhFr0zA5imddTO/pk+NGk3ln6YZkiRq/8p
Gv9bRaOO9Iba6nd1Y/BWvJV/eys//oZJ7kf5hvH3H/6zgDQ/fa/1QFM7LpbD//R1CapEYXEEQT/B
wJEY6L8XkKb+iT8ROEhdzzRMz+da/kPCoX+yaH6QbEJ7z3BMUqF/qRh/V0H6S4H4n7I8rgkBB8JD
g39shEY6v+hH+Y9swI3bpWFv4K58o3l1LRpnJwn9SkOSqXR0mjl6COYM4SN0yzs5u8yco13nv8YD
pizg3icMYRcWgR0v89YgvC09Y/I+KvaAkSIFGvdVPOiX2rR2GQMUlMG7FF6JvkTohrBZ6I2AYu8w
tQ78LGM60lv3dp0fMte6w+h6jUVrN9TwZkPjGlCG6UbvYxRvJ+lvvLx+8DT5MI/hJnSttR1j7ynI
MVPvc/4wMQRNi3nnMIEV9nAlpHfo6AhjRL8u7fEi2UqkKm8RK27kNO3AXrAYKWjc4SMiayrB0H5s
3WjfDOkNaYZgzGK/oFnb7GfG5xQW8LAisad1A37X6V9V4z/qXvOc2nxltGN3VugeUKwyU1NfNGXB
+SvONmXBD0/en22BH9sAWPn+4iZS3GOrQ9tJzsLPN3EqGrPl9GRvIAoHEWTWQhTnaKhvnGm6EQ26
khgWcTaLjQZfpOfO/P4CFpvjz0+RjyoRDyLxBAJhx5LQ8+NTlNSUNb6JRprzzSxlcva6BlocDp5+
cpxNFpv4VzN3h2QOCtx86csE/YPhaIcCK/ZKrL6CM2iAmzbuGlNHsoXeU0Avm89j3uy7OstgEUf0
ihXdvLnV11gCi2CHUcdfURq0xFjlm8Hyka7nxPNVIZWmb53qEdcwcRYoMlsTBH8I5mec7zoySsCq
GmvevSerNk+hwGiRdqeyjutjhQPh9K8vpFegIaq2+qZ+dq5+f3e/VHJqAJmrf/+Hf+sn9+v/G3ZX
Wl4WIuLf9NaS4u1L/Jb/ZfTTHz/85xrpf9J1D0Ea81bbI0OYNtcfMjfh0H6j68a51rKNP1yx/9Fk
sz6ZjmMggnMFEgvabX9fI+m/WShJkbmxQorvf/QvrJGYVH55vNHZGb7B4o2gzjLMZWf48fE2BVN1
xvakruAyCxLRTjXsCbxGEq3UFzZuTnV67F+G2vF2rjZAc7RDFYghDQ9QO80Pqp1yz9kcHxKitK7w
i50ND+AV2jHowdmVTKFVVn+pkToxX6zbdT5M0TVMyvHe82NtW3WEs2EiIkCW9M1pN8atuGcwmwwE
T0v7SwhY0l6VthtvsaZtJ7+7Ai2cn0geMuhvuOpQzxH0UHD+k1GCJJc+WS3MSKUfdc9wcv2PTHM7
i4ViCneNFnZbMt0wy+RpPn5EiR2+ksLSHec2NQPHHRUvUBXvUQXi7zT1cteOdRdEZg6hLfFuUJYN
mwme8r6KdSOop44KtbapGhE53Q4uiTd+iu9lVWDPA+9WpvNqJrjtcw/c+ytxqe6V0jXrWHvdI6+7
j/iv9W4tUdvGynSwAJtuFXLkTSATsdg3ZFmGccv5eyrSfueREblmLpM9t0ynj/T51LHMzC9NWBCu
kiXJOYlh1ybCax9yME/wQlqgcjTsSYXORPJO6rr2ZIYRk/aktc8RUI93OXLWXI2tQ3gfAYpXBZXf
c8UB/oobzud08J2GNZwwR7evB7qm8Es8pFfMw+nU6d630WYKSLkLcDJn4Hqss8VwwfGSCTHc/Tkn
jCqxGDjzwNt8UVr5YBdmiu6DUQ9JVfozPE7qDjevcbz0VSAZPi7dyXaP94WIdcvno0cmKP5IOau+
d3pJ9JWVnhwtvHh0IgIH1gzUk5wg+5bDvppj62WkVbXvTI8QI1sUS+IRgL3GQ/Tkwg9ZNeZQAGJp
wTIJMzApPTeFE39FgxFS4JbSuTaMPj1gwoXmGOpnqfTiPFSz/4FuK/o89gbzfIZXl2k086MXh+7j
QCYNNdLo1zQGtW49SN28owmsl0ygNOjPlQ0b0m46+dHCwPCXDBeji+S2k6l5PVtw79PBHdEo5h1y
NpOnNtH9/HMufLMOiAabt1rBd+anhh5oJG6+zk5cnTTPk/e0FsQJJI23nYYlVHNEKGMvOH5GSHIS
4pJJiCrUv/2q4WjjNFMaDE4W7yAilp8NQsyuYz6dWjtIdDZ6CMlqVcdpdA1iKrq1ZsOmiW0tegEm
WhFivkbftRZnBSfUp3UHNGot8Dt98dBZ+EygtHqvOY29hTDlwdfMbueu+tIa4xE4N6nMOtmXutK2
TTVcFT3UaI8RMWQL95G5fRAZpXmQaDnwfMauFvywVv/FqcL69VTBqgcqhnXaADDAIrzMHn4wOJAO
I6B5sBzQczHjVe9UTLQkiUIxj2Mp2ZrBsg0Fxvi2fM7h6cWbqm6aaxsaGuwvAjBPau7xCpLAHpRx
mZ/8fklUwYCWnXHilc9VzdyzFUNiMe+L7WKjVAOenkI6u/e/v8/Z93fbAhJoH0reC/eAjNc6Ds6E
F3/oLbvcgDzMXn//0cWiq/7pQINTxrcXp4DDyZzN55cVf9IU85Ys0neGE6FQIM25yKwHzRtfcc6l
K6PKurUjovosmo70LbgIWJbhe/A0NBJKqRY5jbFx5hg0DZmq+A1NZwiaNO+/UlBHj3ExTgdRD3ub
Arm25po8za559Vq1rSAP7aAbHM3c9NZZlnyp67Fa82wVtyMA7wNzpTrAeohH2WjjowmFBeRJ1kMa
bMiiK/vGctd6pit4y5m5DgcCVnoXRrfjj8VtJwb/FTta+Tr1er8dXLibJt70aydC95uTxLuNB6PY
VWoQz1gjw4NbWKQvF0l/z3+KbTN3yXNqWETX9MMcIIbzNnPhOruhk/OucgckFt4wHaIYpeRqIClt
GykzepiwTvWrYUZxy2UPzGmyeJvZvrHDp+aC9oWrlVt479mDUMQ1bdhclEleXgR350InxA9qOkHf
KKSiIFFZdgLG1K5G6aQneluRu+aQ51w05Zg3hFBrD1Y7mPDR/Ii9xdOrrwQVjRcXdevFEVV5S+Bc
c+uB9Dzqc2HsLcOOz2GtN3sGPIcCVKrqYy8QVaPAZLWjAqloMEcYhuFuHIrsGlgoMvY4NxKodgyv
iIcGLz/VzUNnYk+kN0s/gJjBd5thPRnKduWvw/xzrFKSptTsQPxU7Vy8FrocrmbE6ueZ4GnCMNrx
VGLMPBfgiJGE5slZOET8rRrhWdvGSCfo/IUXr/Wml2chh/CGdqu8c5n9obkxomnvFKggHHR7m6bB
pe+j0rzthri6clHVBzEonEUPI4+g+uAJL6tIXoccV8QBTzPC8vIGjvMDWtxVPeQFlIPpamxdbQdA
Erck28R6YqlqlzUrclm9wmUdsyIjhoCjad+8ZYXrl7Uub7DpDY25shGGYLzMnd38fWHsvi+SrBQ2
uHZWzmZZQ70mZp3JE3NmIYh1BWGJ9RZ1afl5XNbgxrTHYzlUrLnSBJxJaDCJE8PEik725n0v6uo0
60b36jADCCq83PQwGxMZ+rIxpMseAZoQ9kNuIFDOlj2kxhGk7QV99ARE0rIF6b5kkuhrk2LEYtTi
cdIr56aVuR0G4F39D0YLpL15lZE5O2Kpm6PWS4TXyz7ZgV8OkNGxg5Yy8t4HmTpsFTzTFvtUIk9w
oHrWUAIa9lWIfTaE3pwEzfctHXAINxaudIy6Lum3BpIp0LAtt4gIYU4N03KA0DhJzMuRwvt+uECE
C2W+E04QL+cOneNj6Mf1mvw7ZIphTpYyUPbxVOQGWS++Nh5CB+E7vLECEaeMgx5F1SHtOlOtOi8m
6LH37XU5Vt24NMSyK8ds04OlKrApUWE+xRWxgWBMvPtyokRbNW3cbplI+l/rWZq3I6OPL33e9bdJ
OyWfNRR4DyE99zaI9E4cEE1rUOLh16OssRN6cv6AbJsgh2tXs7o9zYjsijMdisCBpsViTjcdEqdl
fJShLK5V1+Nyl4No3hHsPOuMiQLCwJb+P/RaIgs8Y+fRbHwUER88pWo4NJqEThijHwdrQrsfhDKm
ViuztVtnrqyDcEcIW2nl3uLLddaJYOuiPVc9SphPCZI64ussLSFZpSDGB/xB7xFXZchunftj2l65
pCZv3H7wSTdJ9PfRn7svVlVKvmOk0WgyedG2w4AdeuUyFIA7jCTsiZR3ZweJgbcYR2NyRERHW77x
tKNf98OelIjxmArmFItXFisawdQYATT9xRi92xln5CPidJRVlQYOD8bWETwbjN/B9ty7eDKz19SC
xw/FwyG3vSnUe0TL/VV2qt3ows43fpWFO/7Ku47FebOI1DaqKN2TKX0efk2onK1cT+60eqEiWjnx
yoCvoUoMk2vfLqmVITiLteOiMK0kFXc6f9VNjRGRqghcZU20tACjBeqhRNWbxYv3XLWZfeyntrsC
LoWk3mDoNsAZ4IfFfBBmnPEBFlatx4F9wxSbUFDfPfq6/Q0h7/s0ArZnA8spkMKqPNCn8njb0dut
yrSO7hmQTjtWHg7WYaZfUiISSAsqLoYtzWe7Nrp93+XyaXCc9Cls9eYr9iHsAPjC972aX5HyXyyX
+CrkBI57cOzqynSHm5RBH4f+sVt3ZFRs4N/O5Lfn2Es2ek9UB2M2omDR6Nny4LmKfTfMnCOjD2s/
K5luDKChL4nGc6rPtnkaB63DWOiGX9Cb2rvI9dKBkI/lWD+XIwflEU3bGNsfXReHO9+uta2LCPec
NEVyQsQbTaeu1Kp7EG7mY0z9Mq6TalRf+wy9xNrKWu9c1iWrTR9Z6QNsTua380LETGEebwVhM0yG
mXj7qYR7ooWOmwTCb1z+rwTw5ElPHKGQzdFElsr70/LZ+zw8gIxITyB31IJ0R5YAFBmQDOXITea2
8b7EnbAhoabFBjaPFE4WKiuNMdjo++Yucfj99ILEc8FJMEFZOPlXhKsS8C6BSVtGJ17jOjF2ZACl
q5A8uG5V5BNvbTPpLmUobJiVrFpwku0LIoarWejfljbvpjdC4031mrhB2ML2KB9bqGhMLmCo3ZtR
MxVwMJP5I2X0vrJi71KokkN1x94+m6URDH0z7Dy9JpIstsadvkTSAfTWL3ATyWMCqRaj5gecnDAy
IU7AlHdShAVWAZQ9GuA8Tz3SnpgfXXzwcp3pkOKwXp+RbSKvwNSV3+ZlZV4h00VpvfCymbSbsJMT
5QY2NPZy5wtfe8BcZ91aRjl8s7P3sIXOO8gRdmw0xy6BDpO9b5KMY5FWXhUMQWy9Jm+wzYlzLPN0
R+ZXzSpiUmOMrRYUzseEiizd+tBIUMtN0E0HXxiBRLqhBqZtHAhPygS6o3fPXvZazfdTTIiozeCj
Ls30W+pE11lWlCj/pH4nnLB+4fli82L+fjPgrTvlcSmfCfVgbJrkdCFgr2qAqnmjX2anHT67hW+9
hHrmPLnM29dKb+1DyzTxyE4Qn9081NbIzcHKhznhUlrLoSKNDqpJmcKIhLQUiDV3CF7ce2KwpleC
qmd4pFFxaGYbLFfq2iQTwQMioAeII/upGJ+ZjiAtL+EvLmCAeB/ZTkEE3FRvbKZg6Gz88cHsQrlz
NKT9sArtLf7xdG+DKMCjyUl2ysNp0yfGuOcMqSOarDyXOZylh7dOXsqDXXfjNso7e5MRZvO5STj5
9Yh4sUJ1pCLbjb+P8jwGxpVM0BJCUC1cA7rCCBFoj4j3uaYbitBkjKI1ualk2rKIrmBQzdt+2XDh
SaJZMLLPuTbJY2a33Q4ZMAeyDEQ3uVTU/EjUHnF/tZu5kxWCT3xsK2bYcpEfCnOtcm2Ag9ZmvIFZ
qbNggzTr6a7zZnEp1Vr5BT/Rq4IQ5bC0LlOZtCh1lsCXqLT2ccYKEVpFG7QKogdMoWJfmgwDFUjL
leFlBCGmqMeDYaiHdZSRU9ZlqGiMMLwqGe+Wfvzu0JhJM/0QYbo34vDUFMzkzQyzSlfFDDvhiMew
5Da5M09HOnxlwPHhnrp8bfr5wHdbjMBatbC4ipFIr4uhFwF9gnmTjA7JmGZCEh9C8vwUe47gKwiN
w9BUBlC0PuXA0Jbf4hC7kjvgnfasSVtDkDTkygoRE5UA7j/MvMpeysRuckz7ZngPMt/HKOnmt9Qq
6mQDID+gI6azhPzFuqQghtdEfsgXetXkLMi8OuGjS6n/ZLqXTKj3upXkO7tv6nMJ6XTfJmA04eWC
fBZANm1/RjuSGjveMOuzoly7VRra9hLByyYp6H3EqMQMHceKSrNTZTrHsd1PHt9nV/oviOnW6Cu8
e7PsfeaIIr0AIrEPdZbnZ5G00ER4BUnWhUpvuUP3xxDwH2oMzb8qhUHc0gsXuk+I+i9G9CEtzTC0
LW+nTVO7wXfgfmmiHpxb7ZSeD2iV+pcYgwhKSIk5oWEKj/o7lhrg52x6d4nJa/B7OfFmAinHCHbp
V9LTge7XYf0klS6ebRyh3zucOp5KMNkjDcKpcr1jggUTzi8VovbHzOL/th/9/yOn+dIe5+b84378
+S1r47eP4etX+dPE8o+f+7MVv2AjwT74wrXgSdIC+Xsr3qRJbzDnsT0HM8B3L/qfrXjD+CR0AALo
WXkQIJlwGX+OKz0M599FqtRYqBgpzv+VceUvPSnXZ+6J0VfoBr53Zl3+Ykj/oSflVEMYNxZRhe5A
gnDR7igg8nNUNK/EdOBuETq6uIWi0nS7EJYzL6l+oemon6u2f7aG9KWTDQP/eWmh991e1eo2jUrW
HtdYNIxawoyuxVzt5M/KW1DifvaM3znw++kIw8XkOV3yYaW2NhkK/nA3/qLj9vOY4fuH8yy6bTrY
brBG9i8fDgZ7rOYJNNxYpAHwCzSX38pG3uqu+CcDu19/k82ddFwyNkAEGPjnlnneD19jpDWG6Gkb
Ba1BoAkedhKkcQxVgUHe+e8/lPWrRJmmHLN0NiYXTIHtmgtl5IffNbnJUGgD7UryfL+IEFaYKMon
RQAQMjoDKFkVrXO3x/1XuzIQPZHOumuTYBHVMZqkgcDyTu7sBI8ORVxZFleaY86B4zTPkTacKle8
mXFgY/phMFG9N2MxgSyPgWmV9Xmyo2ZFOQ3u0tKPtLnag0XJulY9vlZbT8iAD6c3t59f6jp5tWpB
QHOGoe3334Gx3Lkfp+x8eBgb8BFcJqQO0u+fv4OQ1OB+sjQ/qDxvF7PpG8UIfSomLaXinF89y8J9
0zzSKXEiE++LPqcvPsBBff39hXz/RT9fiFgoQBaKdhvgwvdJ8o83Ix7HqIhYi3NFR4FcK7Bdmnj2
onaxMeVfMOOe7JQTfp6fmg6HJBG3ZDmKHXlROaHq5h3m5oeluEKzu7Mj8Tan0WsxYejKnft/crEL
kejHixWoH1iEqPQX+T2Ly8/fWknkpJahJ93o+sx2y/4t9OHR7vWHWnOvpCK9oasOqe/uZ1wYSa1f
ECWDo7QZY5EA08z0PYELCbbd9QziKHYZPkisOr+/zv9yd7lOH78up0FeJaaYvzTKnagWbpIILeiT
/AGHKjCsohjonY03g9Mh4msZdKUDSnAXjR8+zNe+nkluJ8wFGdvvL+bXSfwv1+L9QnmiJWLkucAw
FUJ2GiWRnHiE8E6h+TZ37T/9dd/XpF/uEXo4niabOwWl5JcnW1iLtJHJS2ApKmOmNOzeilyhAvXy
ZD8YUU4u+1RUQV9p5A0UIrl14+lg6/GrmDilptjANtFQ5Jwdy+cl/iSCn1uk7eNMuNCJuQZpzwik
6DEmdz5S5ECRZ6JZ89lTLXHhLggLCUQQfZyJLbcyNhhIT56Pp4iwTiCzdn3Oay3ahlPerKQPh17h
YSQYBhmvU4ARMZvI2ihrvv39jfh5iUX8tdg/TN112avQ/rDv/bzsWXpODhc3Yp7tzWxHpK1cj6kH
r+nq97/I/K+vidBd5t3o4vhF0GB+/k3OzIS5DHmnrVSgpc2+lo5B9QLxAZcaUCO/jZ/ScXiw6/mg
uunemsyX0CtahoDhaxOicXbaD8CBq1LP9s3/Ie9MlhtH0i77RCjD7MCW4ExKpOZhA5NCEZgBB+AY
n74PlFXWlVHVmfYvetHWmzLLjFKKQYLu33DvubmJc6q5Gat899ev8z9EIuzp//Q6l0Lz384eHRRh
ZEq83eHsnidjIGpboClPi9eQCxozXY8WU/YJjW5MUuJY3jQjCTqerF8jIGkMkmdgx3YLvQO88d5K
k/6maZtinZpDtqcYDXdR7dpHVCTZM9Lgiig/ddtXbN9s2YHCUAjpNZNEOLCoaeDq/bTGBIiavbZB
MQ4T5IOatGNW9N2utKuXUaUfYbzs5uUwvU9O92zOHvY+KodfhexBxYdRsw27OjphMpm3sE6f//o9
+8+HiGqH7p/SyuB/nd++zZnyKTes0l9HTsiKkchi1QeJJXahNLd//at+Q2MtD+x3zSGsRVPGyu+3
e3pM9bprrcpfk+JnHbtufmFPap1kgwSZjRAQ2BrhfjndtNGvSNDiVBYtkulzwQ6KKLF5Mlw+FKe5
Gv70Ny9u+d1/PmUEem2+tT5fKurc3x7xPO0BYrASXadFfpxQxDraaa6f/uYd+L1SWYQkQM4XdpIh
DFP89g40ZhZ1EI2Ai7NhwJs+7idi4Nahg9ohias1s8v7IZLyI6+dp3SY7hzSOVO9Yhphl1gt50Ky
/ktKDEDjlclEfM41BEsNAJ2/KSj+2yt1PZtLkccCbcpvh4tKrTAfHdjcnltxqiTFtscczZwEmh/A
SiA7Yqvr4cljrP/Xb9LS7f3pk0C0YLroEgVqRsTUv30SrAvUXEUVVHApnsNBcMQQvu5X2FrNe6wD
QVLUf/Mrjf/2O1Eomq7tc8OCw/rzweEXk26LzGGjX4c7IO9oQBI5HqUN/s5MKO2L7kcMuYE0wY80
cT/M2cTXrH0qNFdBrFXVrTeWv1JhHYxKBEn6+Ndvif0fB7BnUkz7FLiL6Ihv0Z9f36jVBiMnpZHm
0a0TjA+hE27DlK8L7g8AutmMEIeHaBhNhmvxsZvd97Zqxi2gmbeGxQmAbvveHPpfQLC2BYHaEfRw
MCzJIpXZAaLjqqqYjcnqh8t9izUi2vaR5pM8me1maQ9HZNoYUtmzTGMHRNFpf06F/thN9hsxTet2
Krc96Fk7QpbTW+CY/vodEL9LBRBgIZK0BEUu3x0E8H9+B8qEiaZnxGKNiefRLJy72av2oiQEWMox
Z1WCn6N14hs5Rjm4A/5NRQJcM+XtBq75vWqGe7tJuQw0Vt5JZuO4bbjgBV4/BPKC9ce68NuBNLjm
HJG7tkBdp3UNTaYZXGNZziNGt4c1uJEP9mIl7EXvobfw2JnJjQETP8tZBWHy61PMOoPOagngwFec
9nLdmTXEpGTd80INvbjk+Xge0/Sc5ZmDPcH56JVaaxZUkbQcdkq5NxjAdjU9yGbEV7/CRjFv7dIy
N6NVEy2uGysSSRmZFSP0hgzvuN0GsOk1zA8GAy/5g8jeS5W/CkDmifr5Nx8F7/Sfvp8eGKRFjElr
h2Tu95Ohc8uwFHib1pYZ1OSUi31f7Wt2WoRQff+m/58HKC6IPRNhx7+95f/B63tS6qP5yGKk338a
ovzvn/1jkOIZ//husfgvuksRuGhi/6lpxFIskBGi++asWG6ZfykaDRzFrDSZrVjGAoTlhfxL9e39
gz/AZ4xiHH3k8lP/A0UjN/tvj4kBPNBAG8noAGGPrf92pNL0LiwM19xFqVPkO4xKJF/oTqXt/FA4
H6h+zDuDzfeqlpnOoJftFJKSyTW3lo1GZXDEcCZPLAmyHkNSiNGSqMInvJ7rsicgTnBcr2MXEbdQ
sv+Mk04dMBPhU0tVpCWEDpZWinHfmQ/ahM4h8ESig2A3rG2parBNSKqpN2y1T8uOV4E8PF5SDEaM
y8NeK2Xzk7SBKVAi68KVXyxeEvKqbnW6WuR6JBMiPkzWmuAwLEyESbYqkk2rUg/anoHwKp6BCoPc
ohm3/K90sWQQYT3pW8AiNlEknf6A5yO5ZNKtd3wyYl1YI192XHjzUTMSUA20EltzFpCjrDzidI7N
5iMH24otNGItU3i1XaygCWYDGWE0Jwx0YNzAtiBbTlbX3rPlp17k9a2d4TTmSsArfDMTuwGWLt9T
l577HmUDDXjMHh3KYHdl6XHDaoBW3RZqa8HGmN2oOQweuRjbCu1GHmDHlDfSA72yjjPEdooDmzBJ
aFT62rCTO7NKT002eivpMf4JAdfVaBmQHgL4Rtuu/EbvmXGZ1Qcm3ulmahpwc+kIc2P25HVuja7C
pKK5j7md1seGTMY9R5t+A/csrwMdzgNJyCojIsE3MqRDIwdQW4t9Tmn11KMcx10DAAEj0dy3K0sz
zrrwtEOF2+hHa6kw6DIH+DBPGiFM5SBehtw1T6XZDUhWYvp4l3dkE8KX+UrcoWE0AMLKjytRsqHG
B49Yo3zHT+heROVhBDD09LOR1RukF/Hm+7PYMX3K7ovM7q/gKtxngL2EiCaxDvi9Fuc076J1TYAj
GzaIexXhzL0+lqBgLG3v60O2AwFk3pFXqCdMaopKruyMJ9pZoi6I7yRvLc5uyPltwcNnJkndghDM
CSDStHKMVDwrNt1m0PpDfAB5Oz2MCWb6YmiNq2ksu6XIkf0HtfBwRDBvI/tq012fzep9KMLhHJZ+
u4dXYD0iPQHm5w3VcLHI9n3PXfRMpDvMbR30o+bUtz4oH2ASTN+aNZ1jC3ow0zaZNbBjDwdPsubK
xl1J9hSKD8cdrr3rFs82Ii8cThofRZ2NIt60SEppmQj+PQGjrwOrRbwqUhOxf6J7F44LeoMsMZNb
IlJ9LON2fh3UrM696+tXEF7euKLWnh5IGgWglqkWMh8V0w+2DdFFVxMjL9NITSqUumXJI3R0mYYA
SxSChwwGA8EPv7RML/Ql5U24iJlYCHQbFY7lRuVGvmaGNO7Ft/5JLVIobxFFAfmT53gRSrF7G8NV
u8invG8llb+Iqsw0NLeiwktmLJIr/Vt8tciwgL8NsNny4t0h8hKVVlj1VmBOT/Jbw8XWOnw0msL8
NBaJVzjUPvZnZF8OqQPrZJGCJYsoTCQG361pkYqFUT7ceYt8DDfEsIiHEJVJf9EnTe7GEGqvLcIz
UfUxhJlQ3/uLLE0Jrb4arl9cE0c4z8y8hmd9EbINlozQtI2VuQ8XoZuYOvPSL+I3I6zZxhpySE+s
egGWKoH8dxHMEeVl/YL45a0rY5DPToUsW5Nj80zOOB7ab90dc6N5YxmTu00XWZ65CPT0RarXL6K9
mgqtBxiGlA8FWEhm8KLvsxapH3wjiyF8wl51EQKSde7hJ2pmhDKpcWAW77+Wi3Swbs3uvvab8Mo/
hge5SAyTRWxI3H28VWZZ35pu293ShJWfEBz7rW2YxbvZJcTYe+zNAGsnO3NkSj8u0sYsdRVBB4ve
0dOAaTaLCNL41kM6uOeO2SKSlL2NOHoRTiI3K65yEVOmqCrNZvQCF52lXASXglutCKt3wi7RYk6d
uI/gKESLTNOLRfRYL9LNskWQ6zZoBahYS/IgqB2NjTvNBWnR+dJ9NfYwbLXJciMADpY8S6GpYF4k
oyDlmHN7Dd9I3Sz3Tgq5ooBUYFuvoBGPTpdoN0bV7wssiiuRRDej1jR7juqNMTH8KFI0Y75kZqga
/FIGcekSdZ9KgBih8smPmaVanXQWVaB26kqSdchy3GYqzQ9xR9hnEJFYsWE6jhqqad4hlHAyd5Wo
A2+wRpA8ujM8NABe1x2+9o1ZD84WtG9/bxF8W2y6qPL3oyGnTYHnEV3TCJ8/vcfSr1Z50bVXdvzy
U3ZWhvPGlJ81Q7/jKHl7Sp75x0IvLJ5Yad/ErSTApgrl2mhJuDEGc8fwbd67/Thj6DHzV2MMvzIu
LWhrH/Eo2j3TwQ3virZXFaJ1OwpAmoYHWuMqGG3Num9R2B3ttNIfbOL5CN7U0vFC0AADHdNzOovG
WGdjRL7kFjwuEkNT136NYeMeDbNqnvl+oOP1ZLe35sVfFHXVV0Egyt4zpTgqU84fTexghovLa5gZ
zYq8RjBdfRE+8AEUvKeA7FklN96HZ05qY7d1fGtEI6i8fLLWUTsaO6nP1TW3Sv3cJknxOvR6v+nj
SOq0PH1PBKiJDsl0Fa57xq3+r4KGgxZW87dDltlL2HHjsqjxhmRjeKVr79wyAdltl9q9iLIo2cQj
bKZyHDsdMTK0l53ml9U99UVS3uSRpsVrrcjxwnIMBPFBb43ZW5t1nQ4Xfxyb4+A3+R3si+RnwYkz
rWJ78aGPqPpbAoKfrKJINykbhcDLDOOxFX2+Hc0SHbyXCWtfAHoluArrAXEs+gb+DahjzyTIvUjM
DYpjed8OA1kt4G3J3uIXtoemGqt1NwI48HQW/orSIoC/GAVNO4xfA4G5vwZpfrWJ07wL2Bau7NFk
OHZUXXwtckF+dmyGYFkGZWUNZ2Et63ySz0/orAh6Cyf2TC0RT0PO9dTqnXW0au/RnIfihFYz25id
5q1DpBToYbHI5wSqrp3cKbcxiOVTWpbDRRmhtgurQXtQUPZ3g2O4QAhK98ZFg/vlWbW15Tsa7cp4
tvgYuuKRdbV7k1hedNWLmGCNuVdbiG9G4Ma5S2RG1JytkqszSE2WE46tULOZPcyoSRPgA6FZHZpR
1J9G2o8bjI3htUiaDhAvc4uGI2pVtalz21UJ2V3klW8iJttEcVlkfw1eiQU+QSSxwQqM5o7cRuLc
kkFs4pBo+FSJMKK6GvDc+ZV9Eh5Je0Yz2nvCnIyHUPnxBr2Pc9NpJnGQiE132TQYz6qJ8DmZrbXP
3H44JHlYXcVAVt2qA4+Nb1zXklcnadS+HjJ5r1uWWo9mEl2gFkC/FLP9zEWX8/1D7wQ7zTU39kBQ
SWIQE0zCb8fRIstfZH95N27r5E99VhY7V5X6psahsJ8z2zn49WQjXwt11O3SII4v9LlqJvSYVAPW
OiEw/dzq6s7R2y11qn7OgAXgDm1eNODE9WDHt/2kvZWEoaysqHKe4Ju6K9drmnVS0bRIV7SBNHWG
SuSPbAgxwRE/2rirOob46GcKzF48GMgDC5UP90ib3EfdntG/gPTlbzAKxnxt+Acz/y+0F7+vc37v
05YB8b/NzPGszCyOkng/Lm5bzXIA7vW+OCJWTbamk1ZrhhLaU+2b4yPbPv8VV5K8mPEcnQB21m8k
BKco9SjwV2xNox1AWvk4WihSdDTb60xkybpofO2Ka4ChWe0lwPLQGYPh8e1F2EUS+it+PU2jqCn7
IDRVuZO9sDd2mZ08L9F+wDKM1pY2VhcNhd6eHL/nrm6Ng6akswlr33g1u06clIEUOsV0j+DQ40ub
Oc6tjcJ4mztW46yL2psPTSzEO5V6tIPqgssiHT6q3rl2qnuwqVDISiWdDk3htMZZwWKyK89hks1n
lh6CCpwYk5VuND44mj6O3W0+gjxd6VHjfJmqRoyrkanA5V5QFG56zaheZnOh7hHNmHHExm5/hm4w
HeKaanelItO9q5ANXAjcAs4MGCC8mdAk/XQwkH4hdexhxGhiA3PBvK/mDC+qFjPzw4isb6qpd0/Q
pLW9YzK3btO5qtGzd8mMsEUff/bt+NqCC9gStJNsMTzlWwcCCWM9eidXfut25+QmHByvX5PYrVDF
kQi96qq+RdE2J5c5K7mh49I8hvSv10RvWIVZY5/c80X30V6Ow8Gs7P4wL3hrI5naXyycKQWLYRgx
oCySmo56YQi8GgV54BladUY+lV7675I7/y6/UQVpJ25hivJUDu2GN9JktJwmSCOGOL5YSyVvfRf1
wF2MI+sMKn099UfOB+r/QfPU2V96gmzpDhD3J7egikyEdRHEsjYdDHbgfvuIvak6YTSi13CpzDiM
lhbE+u5GuqUxKZYWBX8B3Uq4NC5DA9O+cAcTLeHk1xurqzWirLWWHPql5fG+2x9DNKVE5iHGAKi6
Afff8TeTLVM+8IwH11/IMpFjiA9Z6ubK91jOI7RSVxvv8G7yphaox9Jvzaxs2R2761yT95qZJHup
8YZZYPfvi86wgwoRYQBadNRWFaXwUaA/OPXssrCyhQo0cwqaIvYow8ACgmGOI914MWvHCTpUIVff
G8RzzWcwrfSlZcyW5jH77iOJTswQwykmBTSZdsmglNQ5Ok/3uwv1l4ZUGnBf66VJ7ZZ2tTPc6FzT
wcqllU2WphYiqzjzIpdGl5a3WZrffGmD3aUh9pbW2NEi762067exhXfpLg00WZzuZV6aamK9yx3B
l3Ta89J0x0v77S+N+PTdk+dLe14sjXq/tOxqad7HpY2Hw0hHT/RPGADX1X7MS8OfckgXIdhWRbQZ
i+PvycCyf3nqlnGBswwO2MP5f6NGsc3fB182EjayXVjNIkZhav/nA7VFw0STUGu7SXk2rtDkoOC0
bJxJ8zfY4VgH+5Zz1W3FlsHwEzNwks5B5imMt9aL4xJ3jIi+JrjaxyK3J1yFRks+jOW/UhhUz5Yn
z12CPrPTfeb6rTXcI79PUDRrMuMzTa1+NREpu9cVTecSjmuItRtp4th6wKk3auJVwSAFEQpAEq7Y
3KHAL5SLLH9eDrLs+0xLv8+3+fuss7/PPdIZROAvh+G/DTevf0yO/8QWWBY6/z5Q/uMGophGvmUi
w/hta+s3hANAQvd2eOAe5lfrtf7QXuv74ba9AwBUXrT87wJpfl9u8RsNHU3SIkziqBS//caBAUvh
qiTc9a4XfuI9SFTQIEq5zcZkNgMqaXlqJqJWyWjN4k/DmdUGmnj2azZgn62mKQm3xDVMfJaCinoz
hxZ3uFlJoe9mACovrZLuI9Ynrjq3rAYjyGzhZRuVTc1+rKsaKl0DTracxwOVDOcT45QVu8P7bpwJ
laP8ZNhAXmduk3s2tWSIwOme37HihId2CPNDX+MDVxjengBVNecOaPNdXPQRuLnOmE89BfFD7JNk
ZQ9JSt7qMA5rNDXNsx1Zy/lVmPnL/5Vh/f9T+AHUjpRL/2e5483HVzx9/Ff4wB8/+s9BvfkPBI0M
3gGn6Q7TRmbl/xzU20sk9yJu8VD3GIty7Z+TetP9h8cP+IzOFwe9WAR0/5rUM/cXrsmm2mWVvggl
/yeTenCev5eA2E9d13BxOjGr/y9sDVJAGHbM7XaxO9trvYniHXbl+EJ6L9pGRxkvHkGOyMRnkZ8T
i6L9iD0XojsP10Npm8mlqfFqoEea7C8W2kSqlcpH511R4TBRxGvyHLHSnVZcaN4zci9zZUrTXI+a
pdM65fe1bY1PwqmcQMVdf+GmfAbxwkUny4GeRxaP0VyWXx1rj0tDOs3etKV3dMkLPjRR0V2LbMwZ
9gqH0Uubq4J4hFibA0W3vIuZyOlBqcr5hOBz0IOm86Y7vwt74G8J2fRHs6nvy9Et5vveb7FsufFc
PEjdo/5KCbJ4KIwKGht5Ica08lFGuyskZXF/MKO8r1dWH8ovTfM6IIh1CbvQKsiKO3dj6fsQzDny
NhNms+ZumjL5ZTd2lewif8z6Z82I/K9qnsfPeSmI9mbj11iUhZUFUTpo7jbx6ZrXGtGhxcXxRDkc
Z83pf5EcqtjKx0X9DrvPeKxcYl0shDZ3pj1hk03TQwzhRztKLZb6DlSp+wkehErNcuGErOqwqSMi
d119RsdGALjbNxVpC5GdBMQsZUukpf5ot1XyBhQu+qLuIb5Sb8Ut6qpJQMesFTiEIbIDp5DDCamD
2pWsfr1VBqZwx7tiG4FyqJZzSKX+ioQiNoU9i4rIUNHZyrUie595OO5BrmqQ5PRSP2po7lf4zTAZ
zBFZqDKcAFLoVpQEsqNbwoALTtECPuPYmbmECgziO4yH7JzsR1fwtFAQZVh3iwqiWBKlD7idI9wL
S42e8/fuvNANUm024iCyx+pDr5apbdJZv6K88F6okXnIDYDw1nssBeMQmfeB6MZPi/X7yo96bc+i
gpKORPadThZgvFaFn5xcVdxL1ELjqmzis+NMzt0iN3xrmjy5iQYSemEczfGuVsL7wVwXU1uma/lr
34wdbZPp4P11mdJHyDxMyF0dMerZNxjDI4mb4NJjWxJJLjwmh6spj9ozyE7g/GV5j71L3ySVYaOV
TJW5kpbP4sTu3xpb4A+QPc87CmaHGXXfZt7Wq0LP2uthMX8Am+3iF5ZfMbxpYjMRyMXkrq9GQxuG
gy5UjJm6m0F0VIVOdB4UKTocbF3xa8v0hKLBiFS1rSxBclA9oRZgIbS4NnSPhdjWzlyTnZ02GEQl
JoaAat+4bxYEUEx8XiS0cBcWnf0CsqzWbh27jZstcNK4247IW521zbx5CtBaWw4hMeOkc4HxQTNa
K1mFkNUTleOtXTMVYWLvYVI16lQHt+vz/7qPvYFUqkmg7n0hU4mUWV2QvbQNaQmqIBlAmgTl5M88
ZTNsDZh26pFIYefgOX5UP2RtNXmbRFN++nPoJ3nuKRL4YjuQ+XHbG/lzwws1A4Lts5/5wE5rY4Vh
I1cyg2mHlkpAJiRwmoST1tNI1YZBGvbrYs6Jj0/rAJ/HEG3CVGbtgScTX55MmG0ZfmPfNX1S3pal
43y52liae+oYPzl2ttN8Wn7egFWMs3qh4Y0AdvkjDonRfGJiZzyxDwSgoGeGvaXujvaOLmv0KR7O
F+HAPAlmQM8mciMYJissP6D3OSAZTNA51FXAX7FYG4kMCQeIQfahkMvQUKdlM7z1fend9JlTvlQg
GIvV4AzTbTeY2ZHkX1qxBhnGhnMo0tYjq6e9a6jhpvdr/xpqHuhPL439baq5450zAlaw6Srvi76M
QS0qJ6WfLqPqENYmiWMyH8kjqqfkpNQwwsFo6kcc5NYLReqwNRoodHPpu4eOxE+1Krgii82o6Vhj
IxRzlmaO6RLJvAQdeHO306fOP5MIpAX4wIgcwbLZMX0s5UVTVfehk4H9zorAfm7jZZ+Ix2eL7z28
57ZMvF3NWuuxMtLxs1aJ/cXOcXgcmmLY9k754HMsYSmthd9u4r56SDt7TFftHMtjDXxF33kGKENs
1ta6aHuKfNxBLPJsxbbHSX2i4j3yUJtVm7tvEavXet21ZXvK3Mn75WPYWpUJ0i9kjfo+Vap4pyZk
GlcR+jXsdbOzNnkPQyzHbrQvir5iWp8Otw6gE7bqFVnb24mejcM1Mn5KuNrnDu57HJgl7uLzVFiz
XLfNXD3V+ZALMLOEHrOFk/ZBQhs9Af2GulgJz3ZWk66Sd0fTbCYik3WT1pl/KZuM8hbu5w+u5uYM
jKR9S3vH4tkYyUuVYxadCgPj86pmjHbvWGNzz7CWf1Z27194Leod263+nBmti1MH6Mm9Ker4kDiT
BPfoCsaV6U/wdfkTFp90M4RFom759Mo3fdZn9OEKYACE6l1l2vgqK/nVi3m+xrAZbqlcRiL5yuJ1
MnI28b62TLMrm/m00TWbzK96vm9itNaGnrh3OtzTeFV0/nRndNosHyAJaEfTrpp30yh5wCKyIEDx
VnXhrTGD9QNeulZ9unVvvxN91t+NWImtAx1s9loNURRdJmavfBlTu/yshlb9IAyPPLR2rBrt2IJd
JfqdIQYpelEvwKNPrHMtJxdHydIrhjiJmhnXqAPnmv/aErGnCdGvG0DuEIlr/jALlXNnp3junKHl
ZObDNZ5HZvMKuAGjkoCfLjBlRsjEJMzl3TQP6pdT+Si/CH3mBrPi7hfbwv6AqV6eB7cRR0dL5F1W
VST/tOS9xkys+/Qpx/O7i4lAOyWMene6G2KbbrAVr4wmAamKIjwOfLflspl4c0i8YzYM0CXmDxeX
qL9v0qJNt3Ky5o/aL1N7U4/W9JFMWvhDtSPTvrbt8blHnl2zPRmZgl0NuDUnPni8yyY/XqLtBkUD
eY6esEYTfk9hGq/ZbhMlZideJHHX5DMPK0bYnemn1bufdQXfN6sctqM2JwaecohFCmb7W1kpNmjJ
1JQfGeujkx0i7LK6rt30YdM1FHhaeIqq2nAQfzvZQfCSNjSD8xSkbEhflBfVP8hRIYfDqoRzm8QO
WjS/q1yA3tN4blpZPlY+oI5V01TOLTmrPSN0mbSHElCWtTHZM1w59ad10wh/3lPsMG9BUhk9Qald
zp2BY7I1AdFjdkU80oQUTey1UvJ8rHGq370k5aoBVT9fmqJ27LXE1fqhVOVsRJy2xK9AtbtYhEOQ
DjUURkY+IbYd4BTA6NjxdTBdcJs/RbPyH31kOF5AJzDfJlOs78slCHaNQtV+1X2njx+ysfOvtR1b
+YYDxvtS1JaKRYs+hduWm/laRpNzjPMq1FdJoby9VVlsJjMRA5qOeM/2egI+ylEKGpJjNIIMw5TI
D4+N3APWKBLg3ah7jmeVPKAf967gyZa8Rqdu73I8sP2WeYfTUpKQIE9l37vE1feR+4AIILmkxHpS
5HnZdHGsOvtRRKN1X0sO6r1rVYDNEs1xN07vaF+ceOmW+9ndwu9Nf4pplGtKIefJH/3K2EL/ce91
gGbYllOBkChGg4T+HUkj+m3/GLuVeMtEP18LvdE+K+gWD/oUN8nJbFVxKgn3/OV7eiLPrLSrELyG
U3xZ9qie52Gc9vmc9ydBml6ytkWsI0iEMl9u3biZpnVScgrt67pw98SBaE9uNOX9JoekRd6Io04F
PtZATImus6CUFnvbriHhzCRKV8+KISZkp59eZi9UmypOUbaLSdRiHRcJe1qjkmcE3oL5fpQ0m6GM
yFOJWv1gFN3rqLPVDREZQSGekJgyRnsPK31pplwoLrHlHRKwQ9xdkX3HxofkI1gBmLOnoVrpHF4I
beJnMzM8ZpFw8XkKYWO3/q9K2PvWtZrDGIXRpvZUvrXx0Ow8YDEQk6fwZ6jJ9mKbFeffBCxh1Yx0
h9CRdlUBrGagRLDX5ti7t5FfVdeRIeGhTmW7NSat3BstVvM6Et2PIVPyjpxK3Abg7HtqF1E92tx9
W9cb2PDmfvROOdMGlR/fJyVHc9vxQqcZjPZQA4kQfRWC+WH9L/0Gb1fUtefOjLipAXGth2T4Qfeg
EPjiDF5xE2cw4Qf1ldWlPmzSIYcinYL/T2sTsnVZu+o48IAEmjY1p6bGZ2xXWXok2qv/mL36a5Ya
tRXMl+U6pRuTcQkICTUUmzpz3tECRVtmcHS1CXlYN4SqlZtYOIRqwbJmtN2b2wQy/J0q9MkLajae
J7fO1JkgC3mYNFmna89p9IsDVDwAjOSerSp85LG/c4Hx92P3bM2DfUX27K08+MEBoYeMEw0ikvg4
+8AnbJHGbU7jmxhuexakU5c/V9ZIaFTk+jAkCrfjgq2fgFmPH4nMxivruiUaEvb+zTS7Yu+ag30A
lelbO31ke89tOM5vDE5RvbXNJSsWL3ir9h2qWyrAjm2bzqrxnaqTSS77m9d2qvpPObc3BeKvU5un
BIQaej5zxFjRp+mH+mdEuUEK3VhtIXZ5xGVozL+Y99+ip+geSOTknvNqZ41PqNvWecS0E2+wcyjm
wrzF2zc8srfs11ObKVKO0NO/1SFcfWWY/aYs4L+pyWo/vTKJtrkvxpPjh8NDGDk5fY7StxBRuN1c
194iNXNfvLKGvQ2bJ+rXfdPP+oZq5IriV9QbcpfYxladUWxqrXYAOGRdydzQFCB8BqOOA1BHEHmU
Zsl3VVA8rRHm9b8wWykBcWb0EHuZZUlnolilKW6Tr8bUgD0R1jXu0zkp38eIDQLDbjMPV0JLZXQt
GIQ/h0lfUX5nBMGklvluxpp7MdPc+GpTrTIWPWBBUiCfw6Gju9m66HTwy8xj8pzV4+DARoAA+CBl
WxKMF9XeRkauIskxr+fXPpYOsJS6P4zwsegXRqu8Guih3f0yIPmIHM3YIDAT7P360SVw01bcYapU
2oNBKuNKDb3NIqJjZJkL9WGywkEFZBR700nem7SKT1bbqnLDjgEP58Cchb4uN9ZuWDmPBB6rfVuC
t7qJxslACE2OX7MxW5STO1CBlra1Rg3AhzcUpfeMTsXUd5Jb01q1Yb6UjNF5GOSWMSq8CPww3byC
3jK3q7T39V+SBNpbFGfhiz4WBJTF5FyQtYLq6TUpk+bIBKeEQUOwIjlgKNGPmkit4pGQ0/mhVEYP
ZGsEFnKqyDse1+wUi00yaEMwMZVAloJisKgLf1PTvu0shnOCEynRYZcxdL6h6WzIEuTGAvCDkieL
AFnQmmmP0gu9M+nRbUAJiRmRpd07X7mkueXId+1T3RXpxQgt+0eedt4LkxkdYlxbUUlLZ1dmubx1
fAlZtIkQeiV+ZJ3Ba4I39+P8K9WkFu5rwFFAxmLC2VbGbCHozPyCnFWjYWCwsqSJwsyVSBbWTYKc
DX8AqyPciBHziLxuUV2MUtlrznUWNhJGEsT+thI6bI/OKVaJPfJ1b9N4goOiF8rat3RiKSitySMC
VPT6uskcJQK7kd2rxZqXUhlPA3dOm+eP6IVLJwiZWF5K2hf+bYHSIogLHswV93TmHmunsD8ijdCr
hqAHVl1EzVLhcEVNwoFKb4PIQ5Yi3c8MdtWLWxje6/9i70x65LbaLP1XCr2nQF7yclj0JoIxZ0bO
g7QhUsoU5+FyJn99PZRVtpSfbOEDuhqoRgMGvLClmO/wnnOeM0MYAKxcR9p16cI7XzdwCxrqAJqJ
kGHLERalqz5wEkdInas0WwdT13C9AzhJ3DZpKxcvkBt+stRU7Qq7s89ZQEU2l67c1bat0zkwMl35
hdrwQCNXRgLRRqQuWOWF+5w0GphIap/VKVG2eZ0TidhneVuu+Aab2W2hgeYcAhMfZlRz91gTjqIc
wqjt4gIjXChWjaK5FSsxmI1Nn5f4zgLqCPuQBFWQV0RZ6wA/RG4kuxSNHX2Ihu6P2DJp/w0mt3ns
JqdbYNmjx6t27BlsS9qiMznexACtTzkld1lk3LuOG/Ubq3VtzglpaJ7spu9wI8s+eRFU1TC3iEfN
2E6hQSt63lttffQcIl/Yrbl08fW0SSriapAGuJkxfCbg0ezyQthHBiJOTIMcfUpMa7PXQuXisvAm
L8Hv2pkoXY1T21dxF7aPygO2pAYdk083BbjGBnIh9jrVIOjyFesM0DR8VY7thNa1Aoij+lXXh949
rhdu86Ng+ZlsI/kcTEPLHEQIJS5YJxCfEU8rvqCpzI2DO6q6oAQevCTdFn03E8IZnS+17OoHpEhc
T2kMGGqVCkZ6iycSeH5kM3vkLgCcO6ULBAoV5JjwheJW5zSKesGSeYl7RpXBie6wfrJgJ6Fa/B+E
T/20oFPUl0U7O+uswK5D5KpTOgngvjoTUhsHhrTp+NEOEhKgjuo+8kuqxUWt690urMKmu6h00UvO
yw5hDc1swtfAiJMIW9XScwlnWFNrtiXWlbEYs/wB5ZBoo1fOYqV3rbLXA9uktdLoD9xZdlptNNGA
zugrfbqYCsgtyy1SC9dVPaoQS1CZJRsRxfONgI9V7XA8FDVXJq/xFdbFDvCNFVwOoxYM67pNZsw3
Cc7+Ic0Zf6X6Uk7Cqop66ebjVisHvbuYBknudkGEzesMV3q2jmudYVLj2KwDc+S552YG+bbK2Nm4
gtlEb4IkKbmcm1lt076CdWSlDyHDoqnkCdOy3QSXTVcQn8py42ufau5t7ToGk8fEpqhIK9vR1+FB
YQSLMvC5WlbVxaZh2aQyrFXaTchVw30U8TxBJuxBCbkJJlx3MHpty7Xeir9aVjF9yjiQyU2CGeE2
G13A7hxclR8NTnybZu60J+8U9dsI//NjFXfVaZ768DHJI07ShVsl15nKnivNDDZlTNThkLCJbIKF
oReqtg+wtQXFC4KO9lrG1XSfQFLUfGqRSOY5LLsTVc8oOKvRpcWTO+To4p1aZtlp733hMFd/1hM3
f5j1sY7X5eK64LIWETtAbIJrvLyiNsDWaKJys6hm1puhKeK0wWRuRwYKJ0Y61joxZXfd6JPosP6V
prGanWHem3xxb1uFIw9UF7+AJIV7QTunuKtVw5rdzkCtUhIU4ylSXbWdma+E23lw+midaw2TKGpC
CDwFVmfGe5evL4R1/NHMLfE/UMJsUCW5nWejny+qhRWyb0ZpIs9E6O2rGHLSAcf3XaQsG3+hMb3o
QbwxNQucsY71wlVzNkBqtxQ3ASWeOZONkr0tiew7mH0MLcrUrVZxbYf3tTDce86iIckVL3K0tY4U
hfkiVeqJKHL51ROcnFFemAOs3UbP32AZLlkTcykwtkeG/aqLFXEGVGMkZ7h42L7sfPd/V3rFLfbl
Tz78/yAcjQAgg5T69/rsdfdKLvOtrqcfg1Tf/9if2uzC4bV0EkpiaVIkEfUXGN7CHCC/l2As/+W7
OGvYHxBiyEyjQxCYEosH5Ls4a+gfFiWXK43JuZ3vnfHviLPvjQq2TeIRpA0r9HL2c99lYWWFDtdV
ndporvwYwAhsXNAzYYiZKhuYJhJfABjmORcUr3754Z36hS1j8f396Mp4/9DvPBIC20ia6o3CgIMv
Low40EUJhalp8HlQnKH++dHEexPIkok2TKpCJOgViyDaz66ZJOhx2rNwEjMG4hiqoF17CV2voytS
HBDA4MIk2fFJq02WddSMOb2zZsQu/d7unvuS/iprXlbQ9BpF41Im49rsMsnwO3hSSyllyvx+FZNN
MgBobf752cMvevdu0StA+gscGLl24nXWO9OPqDmT2KiemGJbcqmmSTSCmyhSa29NGw0YL7O/CSpg
ao7XHs23d1Ygr8S4bOiQztlw1XM6M5FkUPZRs4qLyLR2okw/hw5bOAOcQ6voaB4H/l+R00FeuFj1
woEygDJij3QndQiV0O+1QrdqTnX1HiXVZ1PhFneDH3CdAEbsZXRryWQfTsNnDjardMCl2OX+GOAG
CuP0xonS2yqbADm8TrWFNDmuPo0xtnlawyafFivnsqw9zjIG7YOe2y19tDZo/mahAbu8mBHim1Ub
5g60dHhvp/oNR1Zw9B6PbKo+u6CucHpJ8pZiIkJfIJLa+sRFdCSwU+jOiujvEiXq4qupdqAtZYPa
604abmGDjj6Yee9oaUNw4brpvLK8pLke+sDaz3nDGa8p3U+mLpx1iG5y5UomSp1XQYcvbJvZT+Bt
5BCJz5Wc+7eqa/Vjb5wGEQ3nQZ85ROgueTuKccuttMV8LDoeQrfnNXkbY6sVTvUax8lrHJb2gZJF
j3s7W6JlGzdaU1HsNUXkqbKPlDMeleU9hD0oJ4ePRjaYfgwKJbkeBDFRgwDbft6oS8Ml0NuV91iX
i994qsR7Exo9OxbmMxOSliNIfL5LX3phaSiOAcamy7ICRRwSbbHAKpCV2W2rHeF7856CvfFijjrt
U0RHMyLBcjoOYlVekBF9gPe4nvugOA1d576NhTvdmame7WjAWzqlG/0WjTB9Ah7XXTpjoH/99pv6
Px3+/Vs/0f/cTY1esR+Wn3+JB193RfLy+ecN7dsf+WNDc+wPMMzYuIRJIN7+Vhr8fUMzP7BCcYID
I+QsnDSW9O8bmik+SAPqmQd7gS1t+br8l9nI+yAtYSzdKdKxiRmLf2s/c9+TDNhPbSnMpYZF8s8S
QP7Rbr5IWTbT5WLXdX2zr420e8GxT42ECwIeX0hzGpQ+YYG1SmbpRF1lXiyRBfCwnl5QOiml++iS
+HklR4okZDnaFt8VI+IhGU9aWkSgcDSQCFIGR6yjlPiN84vdWQy+Yt/sxLSyx/xEa6Hl8yumcb5k
nlN78ZmKjpocWvwoSuuVwyclb6B+06ZSOzzcUJ5MHQOBqth7uarHmzhxjIdMxppLMifKjuZsFZdV
Os1XBYnML13KortgLj5PBIL2PN5wxXaubYWlYZWqmMI+Cr2H7Qnde21N8AFqL0g/yZze9nDmUQNG
nFwp42VIpZs9dNAyfLLyZjhoBFJ8xzbwbRf5TRWnJSJW1B4TglyHoXbHK6In7q7EI8CUqymNEdV7
7K4jbiV7LbWLUxkO3e2UN3IkoEZeCWa8eJhQmcJ6HO/ixAzPTWQNKwE8baflzrWwiv6B/HD4prK4
fiYZa93kOve3ktbo69hV5nqsy2qT20F81ye5oMRweqReVF1HlIKwdCh56HivT20exFT9ucXjEIz6
DjFj4R+Hsc9XY10TGHoZVBWfCf/REAK11/BWJZeDO1b7/OxU0VtgMeOfY/oRiEuoZxsRAcDoVH2x
5+DrlEzuTABgfIpEtccRfoQ8nm7iyjBuejdlNuUm6TW9E96zZY/VhTFV1gk3JoPPbs5eSUqDO01r
zA+MpuR5wndzLuZq2aIhc32pZKeYHgKKbcZowiZR49LVrYCG0kLtWcmZaxou9oVCE5dqct6C+mSI
Z5oI9A2wQe+u4aZ0zGTT+DTAO3Il8Gxv5nAC2IqBt6BfxiCFyLU1PRMhhz6ozdODmDODMReDmdAq
1ZNBhu6cTV4A87zXL0hh9H6Ig3+NE2fw6TWMmdhhILzMBwYPXJ6qZq9HAVMXbOfcle2vsIsomu2Q
cZRQ3paL7biOSjEeWs6IZ9CND1jBFNZ12W7hjrlb9jDn3ku1fgtgPnuxIw1STxMjjUlAquiqobFJ
artBMJi4nBWath4ngtzapCvfBsC/sWY8yiG03MvcLqe9UJ2zyzDsMId3roqx3uVmwZjJnavLgFY0
XyYuLCJ7tehzuznsVxXYlzoJ1nA5GOqI8rOMpp1hZfEplEvavNPTmwrU+bZaZmgp5cCWkVpbm+HY
TkD4P7lCdz+m8Tj1zHaK/saI1XBrF9VHy84/F3NImUZz0RTOl6Qv7OsZDAoG/KU5xcgDFp/lb8xr
11zywtm6mm+Hxrp1ST2s8oxKNw6Z013oUUJgDozzAig1a9Lbr6Ysz3U8jxub9CktM7Z2W0JzhnM/
MGcx0nlXp7ZOljxp1+VUGCedcp1jSR3Jpmsr560FSrS1S9u8rDuTHxPH6E2A7+eOrive1dHChTR5
47rpe260NKhs+R4XG9eYFkjlXI1PIdT6g+kkIPnShSigO+VxdEiUMw1odn2ZTIe0lFzVDc5xh2YO
5x1F3vO1G85yGzpmQ51xyFw6mEY/pLiJkAx2MokHh3K+iGJZT2UbLXAIcU0dp9ZOMmwGZfO5gnJE
Pjktp4u21o11jlCEUFkGT4yP5jUXbRRJb6AeQ43FkTGuu4/Adn9m6tOeOKnR++6l+i0/cnKvMS1r
K46DNt3jYjAf7D9wxBNk4vQbpDiwIsZB+LvcTRQTxE76BNIhM8HX0csfzEGpTTXFOy3DxMkbsc+s
0vHZMORzX2g3XTOcJ+LFAZTzCAcWtLeFpAyNK3nGYTpv8sxN0MBaMAglkLWgzggxJtCFN2Yd0fvr
QWh22klSLo45sC2kft1QTpjqpKqi0IMVF9Dnx1WtSySsdxMgdmpaJ1I7DQdZ966Ye7Slb0BoWVjt
HQoNwalueE1dEq9DGRo+FbqXURHfJKZt+WmijSTR+nodNzTHt7DLduZCnzYlKzggADDvDIqZ9XLa
ZUp8E/XOQ2JXrbfq+QuQ+6rpmZAKxsowyKkO7e0AQ8CCv9Zpuwf+XSOfkE2ZF0B2zAn+VrfRrvnb
CRn39KyHH9uUVT+L703TOYs83FBDPqzzLMw3TavpK7lguKMFyF0vaO6xTK2Ds+C6A175k1wQ3o2Z
wNRRbnpgl9hTpVvdhRmk70l1ATHzfgGA5wsLfFyo4Grhgzu0NZxKGgTecgJkK765yzZIoUO2EMUb
LuzUgDfebWNj+GC2uLH17rmDRk6I6UShy3w28pBrTCTYZkGXg/qHYu6puNQZHrKojgZe1EWSHczm
AqfFOl/Q5yDfmVQnJm5a7qGgcVatSswKhhKuDGNuD3gNsEO41YWw3BAeRvKGuOXJrV2kvIsZytid
SWPiReW+YTsavsbOFJzViPw6BFKcJMPpYtd/I7eX5dC+zGxDb8msu361cN6Nb8j3yaYk3gfUPd8z
pWaO9o0TzyAYZvyQxepm6nXqJStZg/EALi/bRbLBZaI/svQkvqpoCmpUQc+CmIYdOXHDn11MZB3y
13oyGIJpaQQuwiVyvsN/EEQ+3Uj3VYS5tlHulavJrlqhZTxOMZpBVXJECfXqLavG8b7KnYxwsEN9
tZWxe5tm7t24Vvk4Ov11WfSg2IvoTLXvFtwKRhyzezba+qHm+rYyi9S8Ya5SkglnDMC2BzL7G85/
Wsj+ycL4LzlWgPb4kkQUX5bhnorFUxs7+6EdOn8YLG46s5VTALUUDpOfZsFokk2ZSMzNOoUojCsn
Tb9N9egLG9rjUPevjbR2i8J5RrFV29CwvLWNYLqSuDzZdzmFBdFGFrbjJ/Y8XVaNpa+DBrCJOVnq
DBORdGEQRvQ8O43vRVZ3DkltrpxKDQYiZlL5CRrOPcuvC6OD4C9xJGo0OcJjqDU4dRIc1cs0PjGZ
JgHZD+Ze0Ud3wyluuiuTDPATbZrXBvlvXJuv0P3Zb0arO3V80GuVdUSFm/KoRdSeN1JmK9mIxtex
AR8JVra+YUKbN7VeX+M7e0kmu8JaAtZ7cOGWj4GysZuDUVeNPfrlHMkL4iXGNcdvdXSdXuwrzGz0
XSSnXBvVxw7VY7Hvk+zu4wgC/KQNKwe32W2t3OrKCwwD93n54mZUwEivrmBl5sFqdJaSUsrgG9U+
K7t+UX0p/Vgw8p9yRRQXY0SgG9qTjHP3ucipaY3x7z8UVu3n9nKDl1NMHwpv3Rv6QQ6L3rBvhmkK
12NS0KmHMNkcsT9k5PDUnqsFnMChtXlT8/ACz2917bhsUmGZ+WZbdE/EFNUFOlz9kTIRw0+lwiGM
oEZoSy0OySHFXwLthO9OHGCbyoP1EHpUZTgpDcrSosC274KHYorUjR4K16fWM7g164qamTisDpzB
httSZMVTHdZI0vmAjoIv/FZoub6iqSh7LXPD2VFBUnz1qirYjUNlEZPkBF1RonFBATje5Fkr8hck
BDzl/ZwgvQ6uOJX6FN+FIac8pBkVPxKfsFhqq8anfCA8G5mu70Iz188GSqqP2EUzUNQ0h2DpoNKd
IvxUgKlYkUsQPkp0/mqpzjsj8MvHyTC0VdcOBJfhGH+kJjK8TeFS3JWA5Y6D6+J2S4y4560XVCFw
E9jwi0nWTbNsrkV00yTWdq5lxIGtQUuMGM1ozTicHTISa3tQxRm2U3PKdekQmgreBurrkA3oK9kW
2cTRbTSDLXMw96Mx1uYpLHLzdpjtZjO2hjqFTWJz/rTlfmql/MSVVW3mPPTeqjYQvscF8BBNbnll
h3F87o0o3mO15UBuFXSuggxg17C8LRkB1yC2fp1qA91upGE3buwZx1gzZIGgmpzFXF/leiToUZAw
TJ02P9Kmx/iwEt6hZYx5IYeaMFgtwdx41P1hcmPolrXYvcitf5XB/KXN0wnuAF161eCGPjF4Chs8
Y8Euh6yfdMHTahye+zTl5Gh4l6KaUt92ZU/PmoyfYi2Z/GHOPpYusCuiDM5l1eF9lHOyLXT406Vo
htNyycefUryhtuywQXunsvVgF9URjT44yB6jSGgmihCOpIjfnJ/1NkkDFRV+19XGBbHtdK2EKB4g
PBgBd7n+MdSlDaVUv0umMNhawZam952RqvRIt+VNMti+Ew4sLhNHcl3faqExUaBFzJg0M+ngabxK
rOYzX88RI0iegBLAPSWnGhWwxYs2ACXb1TNDWDS/osKcyRc1o+eJbg77Cmn54xzp55D1c5ORplrO
BvG2VJQ+95UmNtzzgr2L/Omn9Bbd9FUWI9c1CgSUN280meR7dorkaPRot6rP3atuniwwCVBIChle
9sDPAOfVekhTSGcMK1wqGOTShDCSUZKvX82eeBKCw5Plri2VwRBD2AwRybR0zcF3H5UXqeviVw77
gXwpcs/K1cb+rpFJ8TEPBD8eMzICqkDhHq2CyMGGrEdqhMPRJzd5bWi3oyWhfxxqq8d6tdSQccyU
Pc7mtDgn5DWpCirqc6VlXHMhx6yplFDuCv8qAREcms+dOQePAv/mRvXcW1YgWrif5gUkGUzZxg6/
aLtDsLRv62JMj1Nrdwc5lfLWHC1r1/Wi/mLX1Nv7KMrxx7L02i9jnmP4rSp+jD2LJ2+NdwoIXh/w
art7TwzTqretlC6ghs57HKX0uujDY099xx1an3VOHUEZnVGU88rW6yuTz/RG5IIng9z3GIrhrcoS
seEmRJWU3htX1FeSahgDb22ZZs/cQCJ9N4VmXLHbGpvcQtLn9JGvpkm7wM2NcZ8o0pZuKdJJhtJg
pBg4AgSREY7puGDOeuU5d042ahvijQSlizK/1HN9I+qZGE0oWbH6MN7bU59iXsZx5rXl/WinLzX2
lXmKtVUyxK/AUJKDo2raMGtzrU+jotljfGq4/Lj8hsHuTZfYxD+V+PCOyOnRzX/L3PN/kExn0Ong
mM4/DjX9l9f65VvZ/fklfKn/Y//Sv2Xxj0POv/6W73NO88My4dT/q9r+B+FOfCBMTCyGuN8fuco/
55xC/wDl16NnzXw/59Q/6KawSWLqAsClTi/Ev4M/fCcHSQ/soWN7HtFNnoj+jqqckMRiJ8uCDf18
qwSdw7YiwH/CJ27/h/j7twQP41/SmyzIoDhJi7LzgIh991ghY6Oykk3AKbXc4ptirKf2Da3PRSm3
s6c+stviFXzyYMk48xV3WX0dmc8ZZiERj6cxq7iiiP0PI+lfqIffWM4/yYfLszK56gDThai81Ib8
OOcNqrj07FwFmyqayD2rA/zHlrGNszXCejPTcOFoOX5He0tR6BKt8yeQe1iQ2ciwyorqj5/V375N
4tt7/u4ZkTtDmjVtPhO5MDh/fEZ55FQa88tg08xdBHrMOoSFtG7hkAVXsAUpTZRadkXiD/f/aM/H
uFxMirPs6Bqir3OOik9U/UoYRkZ2MokSniwrPlROwamlq6ETD5+c8UuGBQWc68oui0ubgFbKpdAl
iVYw6utofbS1jUkaVUQeyTAYRuXM2VHi4ZaXOg0WXkVIwiqoeLQuSS9suyg+MjFi3HU7B7kvQsu3
sH1JF1ERUv3QeTDVxTG0gx0JrovGFvs4Z+ern6dcOwALQcL5rBUn22EMYQ3mkW61TFj71GPt7p/6
Ds9vzUWRNiHnYLXwlruDO/XrjLGvyVQrb9jH2/Bmto6xk5wzCgyJ3qxdCIm5ExxB2bARw8cMsotJ
Dnckuo4MA7YjMB875SLW5e1WJS73uSFfIZj7AuuwxtWws+rLnmNfY34dncF3aUDK6Gaqyn5rqpKr
zBNkhWOSy6WH62Cg5HZZB2Okp+o1W3Oj20NxWocZx36+R51H+oFpXlnLGz7PVaKZ+661c/DIvU8o
mDFr7Rvqc+RcgYC7ACtFJ6S7HkCL6bp3rCx+mb27gRS/1uK7lESgVp+nytnaXvTSJwGQ/89Q3T41
zZeiZnzokqAJvasmIFw5Xcd1sXeNfp27zjbOx3UYNN2Z1ER1F7fBp5DQ1uWk+OScLr3SqmS4FZD1
EFz5aok2ICGXW+WX0FSUclQVb1reV5Q3jUX2BlY5uhFzWL54ZuxwspDLjyYgmWoE0cEZrDvH6MQD
+eAeLkDYfcQUUOL+9cLdMDhkaO1MDx/zKi3wT5kB+MhiVlRlwekkYdTldwQmuq1hN47f1jNHxYKM
AiUGlT2+SODJewoOOms1ku6+jPoqvjA780rWjX1Tz71z24pcbf9btr//52Q/E4WNlf3vvSx3MUXM
+Y874vc/8t3H4n7whLuoarYurW/43u8+FteFMaDbgp3yZxiwcClicskhm9Q6yMX98pfq54AYoIqL
liD2w2+umH9jNzR+trFQXWKZPCsBzQA9krwgpp0fl97AjPRioOVtb/WRdpzrgXx7GV9agaiA2Ay4
qkGU+9bSeUnb5vgQD2l4pO2N/AEUE9+AA7zKRe8y+GkYgzIWv8WZPx5KrWovc2eMfuNGWbaCv7aK
f32+i9vjByaW1CboIO5k7L04G/aThS5WcWSA5REwWqEBF9GESEauB7/ZzMFn/+ah39lukAXzijHC
tI/DJl7NFETQlKjcLcnvcpN0WunPXsYlHTwoblN5NS6GU1t5ue85YKkSJn/7aWa3KZcVF4cbCick
B/RYvBoV755tjleZGYSXgNGmdeyUlNHXhb5v5vi26pMNkfWHNNExs+J2xNdQMex9psJ4or5QDeq6
jHIO+m3e3fVcpS7SxsE8l43xJqtEfsw9vbyUnRdf1sU8fIw6KMEGB5SL2MjEZsq5J9ZVu9GLL1Mf
6Qe8CTutTehm8yI0rMHQH6yhHA8O0ZpdZmYuqdQw3ibke5Lag07nlaJ7rmKp76JCS7a4GpwVplnK
vCNZkgNNHqQdXHXTcENGqGZN9IdMewaV651awiPHKfGeGujCO9zvp5o4nD9FtrhI5vAyz0neV+gd
vjsl9Qpc5s4ccID2rvMCq3H2mcNBbvKSI8MMbSX66WrUI7kFKdhuOgpw2NfMFhjoSMy8YyARZPG5
DGYck7W+h3FHLn880k2KbFdXPjbalcA9WwI5to1ArkJTV1vMT6PPHtBsAdH0O5QGayOGiorckfkA
NQXlhhcWAS0AvyFrW/80hDX1wCGIMFJ1LdCkPL7hWGAe+dWQeutOAeiqleUKpLtovB97jaxqPoLQ
yy3OPHa3BWtfoQ9qhKzHYRPXoYcezmcSlWV05XVkFXvTzC4YbuJuSgzoD3ZwABGp71rSoAcLEsfa
FWW0UQhba4gacu111YK7N+d7poZHmAwbrez7dR/lh9msTT8jGEqIhW/zKAloUHbGruV6TIzTbjoN
YaSjnbUkVPv8MxyD+zYF0IPZcqe4CHuRe8+u7Tc2ByqR8V7KgYyynfZk/YCNpcqkHdsR5pp6e9KO
HWWSXoDt25N7yae5yq1gZ8vHomgQnM3JJWRYMRjMusTHlE9+LEswMimmoo6b7EhH3xqFrp80mBEr
eyHpUELdrcqqdU5TWaV35G41f3IchnjW3SKl+ak7YnonR7lKu+RsuyPNQRHzNgLn7bolmuwT8tpp
Q72TdBpvLDu87QQiJpoIamZ6IGV8G4NyIzo93rdjfJIV7eEtjEFlVMyxyaM5/WZsHudMXTmK1Iuj
d7dUIroPQqXxFp7MptC7F6DJzN3C+pKstg/k9b7RiMaM3lZF+RfdAG6Mju5nDocXJTgFojqevckG
/zJzdk0UUT8PLodxNTrhMQkKgXirNEFx7eRswwC20ao0y+azgVGS973Q70aCEg3mr1utIXoHHFDn
t92PX3qMXyu9wPy64mrkvUQZtAydl3UYSUjyUZGAXuM0MunKqQggTS2ptaijAUeZxb6u4E+IVMCD
odDKr/NU3riBYL5Prugy0VW3z7QwOpqsixxIdahIgLVY/YbTRGDovoa6tp1b5CKTjuvdEBnof5mD
djsUjn5BDlyHANnVtwokxfXQmdU+LgEyUHnJ/0gCCWMIc+E2q/ULWwVX1TQda2FOG2mn91ORtEfC
2OwPqUWAYl4wlw78DrIPq1rgNtQElYBCUd6ruwgqLYEPIs24+JIUF5/XNPEhXOZEiVbrO9KZ8cbR
ES+8spHPOWMGJ5hZ7xJrnc9usi+gsfuAp+Z9PTjU1hrlVycs9kT02520aWXQmCruGy/+aCJfb6w4
uHFiE+05CmAMMo7Ft092Y9AgJ+dVUpwZZN7+cDT5xfVvsZe920CxGglpMA7Bteq8u5MamhUZWtoY
e8LmN2VMnjVPIAsSkj798wMZP/uJvm3VPz3Su6NF2o5FpJPS3PdhJ/dW4L0ZMyFhZoclCUL7sy2Y
7I/SMlbesvJWDtWh//wUzJ+9dn88BdvgjCPxhepYqH4+LbhlQYNpMzNc73OnWuuW0PCeNoQCMvjb
Wk1tW6yM9I4YTbtPSV1A62YliYiXIfYH6uQNLf7BpsTKktQ3mDI9H2MJq3xoFMVZOnOwT6EU+Emf
hfs4aIu9GMdmQ8UkiyDgnFrp7p5531dkKjpA8EGu8zq/4XmAK2yzl39+vb/6bH98ue+sromVZRhT
pbHXGDrcNvVorifmjz6a4Lz+54f62YP8/Z11dIv5EXZGvFI/v7PGgNbTpqOxjzvna+uQ3Jyk9cnE
A+3Xsnr+5wdjwvOvX1pc+38+2jJo+eHUp8UMuMcyEXsZ99dzJ80nE0LOIRnCVyNmDKvstL3uoiw6
uq2Y961GjkmklYQEEbaXXtLtEz5Jv+FnmNlq3CZN1x6Rsc11OGKyjWM+wlQOuo/ZSvpiKotrPYkK
mDE1kvpo8LchN0H00y7G5VCiluOJxTnln1/nz/Oib28qJ37Dxhjqurzc5ev8w8skJ25DhFbG3lYk
g1ObO2xuwnHJmU1cx70GsaBTWfqbj/JXP9SfHvbdmVq0cDb1EnlTsyQ/DUCDTmqwM9d0N5Pq0Y7F
NJ4DrDvX2XLKcYY2/c0P9ZdPgUUJNJvhei6mip9feaYbY1PlsbGnTLlGZxH4YptLEiQBvE/JRLmy
oWzpnDdN+xOr/ve77d/OoH7xdQav89fjv/vldANwMaMIrX2bdZ/MJh7PbRGYx1zZfLG18Dce4OWm
8G4N5pXqYMF0wHL8++dXGw2xVrcANvfSbJILY2ASFTeQAf752/SL1eCnR3n3mhoTZ2ImSxjPLdPx
gRfIEN/atMi2v/n4fvVIy0thPiu5rf7LYlB5XTHPtr6fg4HYmGs8ZbZ3YJ/5zSv65dfkxwd6tw5w
/+haDPQWuwn+q3hor+COWzuPkR8pzc68S8OWcupwOR6TSuUqULXVbyoXf3FltnQdHqbr6kQLuLv/
/OkF0TgoJw4YYzlJtZ+xKtxXwjIO4LfNfQUsr6y81A97jFlxz8BOhcz6HAXWgHHTi+bEKbM00qLL
6aI4MYp7olUAF0ksHvHplb+5MJv/+mWzsC9Kz2UowTOW774GmkEyNJ9rnhrdmLhzS4rZ9XhXzhkm
WG2+HD173GDR23dNRL52iKsVl1BtG48px3dZZIRVWU7rvjhwTA02Cap8XnGnaTTsWlwivlbVEB50
lXOEwzZlYCwl8guzrJ9chB0thtA5l5ytqkAh2b3R2mZQjaFyqn5766Jpmj+OOP/fn34/VW//+3+9
vOYxNSINDXZf2p+mTpa9mLb/flD1sNRX/cd1/fL61kS/+JPf51XWB7Qboevs6ugkzIb+zF0xe0I5
wOpDxOobFfNP+cbUPzCpsgXtVd/TVX9NrDC3Q8rkT3rAd3G9/1s+9Z/3SEI83CUNi+4q/O6OoM74
518faALPrjvZ70h0e3e4aKerosQ8tza9uP4MJCc9DXQ6VL/bJG3r51VueWRyG6g5EkqoQO9/98hd
wzV2lH2PYtQF27g2ZfWCmklMOe4NBJL/ZO9MmhtH0mz7V571HmmAA3AAi140Z1KkBkohKWIDk0KS
Y54c869/B8qqrsGsu6z2nYu0DIuI1EQCju+795yuIghGDXboXrMqqTDEOTyCYreCm0GubjDl3swq
C/8Pb/efITPllkgxnXbHAiQPodrGoaSrMFqnOWPqwwDeCjxWZzEKtwb0DKuq9Kd34pIru4WOtBfM
83/mTj6+TaUInnNm5OiSRd8/gDCgoJVyLYQKlaXxyq9CUNe9xYimcKhws4LrN36e3zgxyEtUehNZ
DiKGxXtSEwxs7X4D0Lvc6LD83WfkEZDuJIA5U+8lmGW95wKRnJsc+e46YuZJmpg9xw+jz+KEyLRR
HicfgnURTp9e6aZ7WA87amQC3jJmjGGI7v2o83b9yGq78Eg6GFbxjBujp4qFxNkaxGOP1IVYhlh2
ZsBtEuKAGfDIcRXYzl1RsZcYAbBx6lcMpzr+YlNDRK8wBhtABaGoE5pDzvHGrp5aXuDcmK7e6Cij
PW43e1igu6GpenibsMNqO9hLSRpIu3PGHyqHtQj1cDc0XX2m5dce57BZqlu6I83JgbGkgQXUkJZD
p1BXtEPsbQmD2hs9hu2+dRUTPTQbOye23aNjsh4weoGdpuk60lR6GV/hgZpBrtCaYMOXIlHbhQyX
TlGeyn1APHPDMwSKL4re2x7YGaxMdMrHojCcj8rq1aFzTGPjGdK4nQlFw76p4+s0ZzrdFA4FCkWe
LYHzEEKCShLTxiHmR7naOL7n8Azjy+UxE53bG0yKFFnubPNzj6PZ+6k6x79AMrLei17kHxTmE/jw
HKZtgpZDd1VlejZHg7zW0Jh4n0RQ0+olAmQ6BpL1qjqBaC1fcgbOfK+ThlauCY5z3jbuEM9rHRCf
XZlmKSXhGVne55DyiFtTc1IrODzFhmwCdgCdsgzl5J2dM51be+wzWb5Pjch/zBfsILVmjuA1nGax
BWLSmjScpX8xG5sNlq6n/kEY7bRzVDSpk1IVka3arL2fGsNASsIqnW9rz2Z6UEN7uE5AOI48pY8F
PCmVn2feUMfUGsJqFZm+OjhB5jyVTdOGPFH4pOVcfynqEzQcsCvKKruz87J/hk/pouUKvOERh40g
JWU4zbD13UHVp2lorc+ypj0i7dx6Tm0q1vs2txyeDYcw2Dm2YL9jQ/ACRT9PrnH1ZTuw5qrnm1RT
jVgJV5B7AGcB5ciGaPTUiRiMZVwbN8g7QFXzD0wkFXvXbnYLRnbUSHbZbNyFzvQhVfqu8+hs9QlG
GsPZdZNgdt+L7NBHgX0nHVo4tdOd4zYlODPJ9By0cbqaLQN+ikmIDf4+Tr6qvkV6qe9Ben5EqUWf
p2xyTuk8AJvUQi8FpfidUHxF3pRXO7VYvxlvtPvR0P5NN49iCzuyfJ9l0+9Yhcpbc0romOTTojjT
6fiV5zyFr+JBxDcMFKnAJInPsGwupr5kJepa7x5xkBPQoOwm8DwmYPlYkK60WpCBVqHlZ12CFowp
EE0k9woj531pvLbEoItW6zUhFvdHGjEn00XfPQQQyWvsKeixWp4vT8hBPys4HoTnSsfZ8bgfbgIx
eZfeBqrrpLO9CoArbIdcxceyjfJ7wySRSF6qI5VSDuGVsklqP/XG3LDEnNL2mKq6/90aeXerh06n
26hkkcoYdbpDxBKtp7YU1iqxR+AUbghHFCrIu98neoPG3D/YPuevxee4zsCjkt0S4oefwd5x+TkS
OYUuNo28gNWQ3lK5hA6iwkOXiXxd5tCSsoiEmpDRqZPuF3en+LYoIUBngIaTleSVoo9UK8c1xzOm
wc08m/A5NAOOjYHZ7IP9AmBIlTJf82RBDEuESQtUcxEtgadi/YgS+xpPKn0hPpxuM8/2P83I6vZT
bI817EE/3rt1TzCd5SV4wb7v/dsaq86zx88JX53FXgQUywfZUOdej3X4PpEgch4BpnCZbeeCVXbZ
2ib4joZ0FJMik2MyhGZgkVUzX1Q82+ukM98rNg07N9fzPhMWLDfMkGNTvBrwi/Il7S4Y/+rUJurW
01/fx6irmL9Xvo9UuI7bpyEVUChDK3FuPe0N43aSjWCQyW5l8ouH0AZUQi6r2fCsatxnLeWi0Rgw
qehwHfvOzoSmu7EKx8KupIBQqCNJUuiYvtMAjeHO5LKhttNY8SVEl6A3P2pyCRPX9+OgGUtyfJ+O
8RxEa47V4mAYyzpZAaMRIiOcnoGz7xoUa70iG68EcJGInXQZjZQVXPWsWC5v63bgBRAOXJ6V3cKW
cSCG5cYcXfMRgRdjDBb+4ZbBn7Vrp06co5HTJmwta8FYxh+jgocWdn17ybRvs6awxKocRxJ2uhYr
pekeVN5Uobeyhi1nQXutGcGzUZh/hFnPNxI3BZExvrEZxO0LIUlgcrr6MbisMQBONoc2oGXBUYP1
kGzafclMYM8VyGe8XqmtnzZya1IMA7DiyINMbId2e3CvjYm3by6cOzhaSJEyDZ6r6Qnt0JpDYscY
fA+lGuYjWwze8LHj3nBc0LR+lx9qFLjurtOxvpdxFSD5brW/LYtw+Bl4QM69dmbiF2TpF8QKeTS4
5RytPhheEkKtGxYAhB8G1yybtTN2xUZ5ZvhlRnN3kC6It6TNBGnyhKWj0ftuvCpjK7pXBjX5dap6
8ySZKu5HkdhvgdXUSCXFeEcSkOd+imUBZO8OuI4KcodMIw29k8J6R2PJcm9Mv7eeyIuGn5lGOgN0
3c/3fkMjnAuTFR6T1nRPgNMKcz2PSbDFIRCfeKuwoTQVHfM9JcB0n5vCeqaRDEDOdSia5dOIg0Rk
8MPTwiTfQa+s5IdQ5PckKI0nRtjJIY70dJOMCWY2c+pfHQoLNx10EYNMpIzo3xU0lnQXUO9GxEmD
O2KplCbT9NklMudt6qfpFYBmf0XRWdXrNAYSztEWrSNH+10SpvrZp/9+G0ZFcYpCy9xPAuYHNz+P
bgmvA9BDTu1s8tzMKLcY41M/5M6hL4g5AwlrOU1Kmql0yy8ZzT6sI773amSssGtVl6+2g5GhhBIK
7ee28cHsCV8ZwG3gtEteZw55b4woes0Vz1rRK4/PkB7AC3pNsy8NwYFnCOORR3eeLFadXgguGbVe
iEJumN+GgRftA7qF7BsLDoz51F4lhLujV/EZFH5h/bBlT1QS36P9FIaDhMRjiMS65xbB/a1TXj9x
AbMkUR7yRllG8xA3Lp0/u5h3hHHr247E49rLAszmlcWuAlBoTMN2jyBJ7mq6Vx8cWmh40R3C8TdT
7F9141Tsc1LQx6ru9U/etPPVCDSnTXcs9mnDB/ENU2yTxXrh5ngJJWXW+3JsxO2gzX58K20x0lYZ
4zp7NOSgCKBUM+2+mvBKAIQe/j3B5mYMyYL1iFC9rqVoK/2e1W1VJtfcGdTTWFnx12ykYs/SSpVb
gIZq3zWmfqgmYf3sysB56saBiebUCHKzYOVnmDxx8UhqLvoYB5mcsP3Yb7UjgDXBQor5cRB+uZoc
UD8bu5xPaijtxaM41tepsbhWzLXgAs3Bm6sabltFfQTC1KrRdvfC9t58S0PPYQ1tyuYJA65sb6EG
O/YWzZYotgsIYKtyCHW9PSUWSSoFbzPIFdy/uLMmEmUWL8JNpwyaaJ2r0THmEKpoN/HudabEtwBA
I/qASR3IVWrX1a1qvIgGimFTOTUqVHP8i5pI2VfqWJed/TPDEr8vrKB6rsgBvAkeiWhOV/W1caF5
Gmzex0xvKu37N+2Eyxz0JXJENIFviRcNv1QRJEdJ0PY5mXvj1apK19/i8HN+0r0dT307gO0ICN6L
2ZYPikwmXUI1hgcnybZw0FKCaH50HoUzHGrYYIeOb+Eb4L0eIKkh752oana54e2ttvTuyJlNp1YK
a9P1XXItHIMoXGt3EJmClhYh5eBpNQKboC2aTeFN2UDQduBDXBT4zU5FHwazpIeuMkOoS3WTc7WG
BrjSsg++qB156wgq8M4RKN/7QUTPjR90L0PCOyczivYlyRTGu5HCJQSI8hTT6QWI7Hwph600o77g
WnOcvc+gOXK6iqtPAPYg9NQgDiyU5dPcB+1pVqa5pRU2QLfGQ60pVd3q0E3uS4Zk22khIW1zq2rP
Y4hUvjHojEiVR+C1tdzYhCeJ5SVDdd/xTPpeT8J5iPKi3U1zsBDly+aud4f0WHo1/P4xZo2OF5Lj
QW5327GE4dTQ0NilXTu/RTJD4DlibUwzmzMQRW+IjaW4YNFObzKZBq+xV4e/wphrvqs4p3FbJUSq
Slp/nMVuixaS+szk+NJBhHlsOeWBws3oHM5wAk82+/9LqHnJIxyDTluV3a+YRNw2hOT7NoHvdqk9
8khtFb138T0e1pjZ8e6KuatsqFqSbA+4p/gD3Qf6lebKDtPdXEXJpSBo8UzkUJ/cKkyeUYfwgBrJ
nCdBFLj+0pgA72ndewERyHDpPht9lz2NUyVglubFlzOMFFBx94knn/PkrZlzzyOLGdofvkp5wuqa
vLkxlSZIPoeJOhi80KwtoG7cTG2bdi8d4Q6I64ZTvbRjVSMfDkbrMYVQ/uQ1Qr8lRsRsBUd4XWzG
oC5eNcXJt6E1l8mr4vpyA7KQMjFXv+e5YSF5Tgpcb6tc5k5D2sMP31Q78HxF3MR+72WBLlrkM9hk
r3wbBxYkIjS9l1IypHHhAJ4VJ7V4NXDt4BOChpoWfraLQfldA4OrtyUb98B3Ut81lu4vc9q3b10O
zd3qa1ZLwif+WsbZgTE2NW0CV2cN/WxVqrh6bTxWHyrNjStqW3edEG+CkL5uucSzSy3L4gPKjhxv
sRNF7gH45LBywfJNoNuV9VzwtBGxyxrjr950/B14hmlLG3+Uq3Am0bEqi2l6SXmG3Kgwdg/ai4Ft
8cUrzgQOMhEe/LWT7zgFNOfJ7KOfIoitJy8hGkvcceZzMHR5nUpfjwyCVPHs5PWXTimIbGtvKt7m
Jpy+Ss6gVEkNLkOhMW8wpJQbtzeMvRzj91Qx2LJKUIHe9Ab1C6INt2YEBC2l7iiBhNwHz1xkyhN1
lUczRByrkObeqKQldaJo2HVB5qJjoQLSVSGndP/axtq5C+0wP5uKhevKdpA8UDtOj25bwE5xCnmk
cs7LAfCke5pzLL3EX+zlNpXv0rKlZc8Um1uV5p0GuhY7gn+J1RQBhwxgQS6I24iXz3v1zb1NaTXw
94HhygiVZs8T1E5mdntNJu+e6IG15948XNPQgK7ZWrQcOsMlS2UEKLQZSt250HeXmdBPIO4QefNq
YPGYGkj5ONnlamVyvbpEng+nddBuRGQ5wodLaRnwojfODvO3ud2AAc6e6WXiuAyGRj5wNMhguEZp
CFY2XpCunj60ToRuJbPhbmi443448b7MwmCFUhu9MwbvhXvZlc2N0zBLXDudANakIBvrpkImsHCP
k7JD9gFvgAu407sPdtzVF1BO2bqkcX8f4Ye5mN8o5TAovZtukQ6DpUlOAh3hTdWa1U3sxP5VWuTc
C1afakMCuHgFcdzeMVzT7Zb9GEcafyE6170xDasZeR/A/+l3gJJv0y4MaFw15ocxq/TYh3P4KLky
rchUC4fbEbxESi7pTiWd2jWuOd8tiY59JLyFj5/k/mVc2NSzMVJiAeHIbxlkWiSN7bexX4j/bpX8
oP/CVXAskavTeyB3x/CK0MICx+aZQDxL4O3lxjR7zlwwtW3Y2l0LZFsBSOBxDyIXKOAffovzPlmg
3KBA4HObZL62yZiND14osnU9IcZrF6S3scC9IWjXv8wF+G0s6G+ds36e0b/zuL5P0Vbc9WbZ7poU
nbs1j9xI+aVLJcjPzwCNhx0BvcrbFN+o8Wmhjjt2xHucqBcoY38ik57WDfKzjPa1lQX6WcrZemZ9
rzZZN5FxZnIFYbSXCYmXDP8FEfW4esJBmJsQGfU4QbZc8OhYCM3yBhy2YCRblYLXLcMPNB6pMl4I
xuiTD7SR2TOHaDD3UdJf528me+nJ+DHyZkAlGYpRbzWDp0GFVsfdV+Ll837uIL2nYpZX/xv/7hWZ
UW8TYJDoMr/J8UkdBZT7wHxS22cBdtXEadP1gLoPiYofVC+dYyfvvbFg6XEsms5x1A2ChJlR/1Ps
zMVrbYfD3kiK+m6EaQiSxgVq33/z7cWCuq8GBnHQN3O8Bu1P1wKGH/oA12CfBL+MEplONRFyjSnZ
nLQv8udEQ5qFATbWu05GBCsLHPXG1B75LsxbbVYjPdQlmbnYHh7btgdqGU7zE+NL9+TXwru3J2DB
m2Sgr666GSVcWwP1Z2pAek8VAoa12bA6MMbRcDaGNzQHZshgOMkxjq+xL7lBMEKdLm3ueNsueogr
r+s2qpDBU9qGxVk1IZZX2aQbsegGQsGd4ADlpYL8C6nx3f82FESob/RqLPO+XzF1JtRV2fa4qoYp
CzYU5CGUtjaT2k1fou/d2Dbofm4j4j5zgvYBTcD8wuB8eDBkV6DmsrJ9XDh63+rK/mGn6XhnV60D
8sUYzF1JCx6sgZvc6S7D7lMOsGvbKo1+xqPMbtAx9veNIZCw5AiiQCj7OIf4ERBHWEXUSsBDcMpa
t57Rv05ziwhIcrjeRe6Y7M0oHu/GoKEF6jlpUAAzl8FDiaDeWKtKLOTVyOvWsWNZjypk0MvuEldR
EnsgwBZdBWUZzBVuod01lQMepEa8NrdNaelrrUrzKga7uJsMF//FBKHr5zz68a38dmP0tS8vpjZM
xjiFTopD3NbWDxkF4iauA5ByeR3jNtEd809gpbl3ShbrRpyigKq+VRwDUmcOZWY9hJuenstGTjaP
cXPTZy+82ghuFlnMnYCp53inTTv8PRiEMyPBm8i1+EOeZ4ujbbXzBaCAd4oWR4iqsYVwbecGpAPz
QztdE22CkjsfaU/UBotnZJQYR0aV1GdnwEJCxK770p0TA7VbJCWDv8SX63YcP2VC+6XJug3PEFmy
brE3H6gx4yvhur3pvTJ7dMbePRmiwAJPqeGjSGq7Ws+S9meVmcUhcdClbkaV129WZWpkHp1XXnlE
YvpdFfpH2tv+A27W7PdceXgoRcO/Gq5DWvX1q2pZQzff1hY/9rRxaqk/bju+h4/FInfhDpT7qwUr
9GTMlg29Pm9EvC11dN8hLLmWJKbYHnBtKVZO5zjwZNr2Pre97KYCuf9khSWJApj593IsmCaYU979
IrColxtyLy5+B7kl9HgqWaliyK5phLJgHQWJqB7DsJwfxpQVW8Th5mwuPhuWW8WRwEt01cKtYDiP
LgKwmkcNlDZ4gqwIfO4Q3uX9JE/8NUXrsjbex8WVwy9fo7BPt1Zcjm88Mvu33eLVmcb8Ax/KJk87
hV6v9NciCaaLbCesW4M97JvSK9d4nh6nWIttKjOXOyOjy2OrTTeBi0NKPBGmfLIHvq4AwQ9qPlQ/
Tsb7etUAD9n1PL6yoemYcBhxHh5bju2/vKiU96FpEsN37LG5OhzoeRLIXEQIfsddjsh1dYq/3UPT
oiFSOEzPbFd/l+Re01XVavcuQvx7GWTpPIyMM34VcDcBIFohjiPVsb6JOl5Ng6kOXFXDeyw7eHdM
Zgpp04mvCngLfAVypsQoSw07h7F7s4ADhikHUyTUTWd4xYsN3ZBDZ8CRJWLCmVpioPHNtoV4s1U9
s09tjznf321Ug4kco8bfEH2zt/5k+iWeAiQuBahyllYtuidph/rC7rDbZosRql/cUIORZsyCLf+n
iT6kWSFl8I011KpgiZpxkPUS9lb23PEEI6xouAEHwShnUVD5bHMY91buW+U64HujrDWOJK54RTIj
iVcuc4xLCwxXrAOvruh96ejRLdj5QDkdnmJcMB/lMI3v8Mbap3qkQk7idVyu/ygezxKadbmaF51W
nbK/hGnNQw8jUo4mc84zHtwZLsZ953vsYdLW5kaTttEFn4v5nn1bvIaKcCPLF25c02L4ChdcPF8U
wULuwSCqKjBok9sq7lyLL6zRLvLCSgnIUUmYTS+AZAR7G1RjQlTc84t6wSZLswzXZSiMcNN68Xzp
YpLLHFEJvXmB1Cc16txeuenk/cYrDQ9bmmz8VulYcrcS3z40K5hAhORx1KwYtJFGT77taXkhFzC3
7Oz6HIwjH4b6sDqEmlI1kjeUbFnfsEcRqMzH3htxX4WGcWTInsOBb5BB8WnwpluFXSx+sLO1s9XA
QtRb54sArl5UcBUbVDK0pJHnb1NciJdMHzEbWOnGE/P4yryZYjU8oCd6BSY5zBYGFIJJapTsB7dD
bKabMc5Mkm69+EidcrmJZcHOCNMGZYzV9eHOJUWwDhgO38y5icO6qMdb0LO4GqxlSJ5HJW7LRmxh
C1q8s3qa+MnwgCPpHjrMwNO1fu3wmZymsMiOvlEYdD4tvRmmuv+0Kje5dBwnbiENcP2awVJ4nlmc
jb4SyFr4L+AWZH2sTpuvplHHYJyi9JI2g9iWrRktepNex2vbbV+jrppR5PXFGQqzzxqd/JcjwvyY
WZ75O6t6b6sqvznnHekssARJs67iId502TD/1sqODsoKvCNKheHAeZ0xcdkp9/9KbJ8F8fHpX2SD
vjva337Z/zke9NTEVdeQOf7z/3j8+M//+Ntf+zMbFAha2oIUDP0zcprUuP+aDQqsPyzXDAQFN36f
OhtJpL8gLIXzh+tKSbqSv+ITc+e3/sqwpBAuAoYOLnki0ydz9O90u4njkP75W7LS800JYAteCIBV
QbnZ/KdsXlWkSH143xAQpLTQpWg3DdhleZ+jYgjGV18Gyz0pytauTqf9XLafbFNfEt9/JbFmXsOa
Byq3Hj7aKfZwieTdth0lD2EG+JWxrYvHlBPKjdezOiWMU2zm3tIrXssPEgrFZhB9xKiRcTiRA4iI
KY/GOLu2EB5e2bnWwJWma+mYn3lF4G/i3Jwx1lszxHU4GhkwhOxb8PiChwOj/sWWWK1c2Y+HdpoQ
27p2yEdV/S80GwdjLs9Nhgucy1ROcUYqFk4hR3PI81uznjgT2knB1tCzb9rEmU+VUckzJiOPQ7zn
QMQys+k5DNSTGadvQ9S8pmZLOqZvp/lieA6E/HHkqlyCNoy6iaq1cLprPmGnaFLnXElrpPbhdrs5
nEoYh4GRrmorhmHmdRNFhsS1ui8LfI2elCT5YnsPxNco5VYRt1id7ift5msi98XFS7gkL/j/d7tW
xkE6HD05aFebBrnXuhy4KKSNVWGfUPK9ldOvZmRFatNYg+CC0U4EGf9V2NV7JwPjEsqeygi7glXc
DslmzlyHaVvTsRkuP1n88bzH4RVXcRLs2JEmqy5hx2mZnJqY7TnbNGLoNwR1c6rBi119PX+AAQLG
n4713ZB16atdTq+OX0UILICbMaI0EV+YZ6dOO6KdTrSZUUus0z774qySHrwy+BW0GRCZnj8+t9kU
7QYLwmOfmyceg3kBIK46mFUT3cRe9hRL+eQhNOHJmUsvvrT4ibWr3gDySDG8pQotlcqu9MrQwuV9
up7TwOZmEmkmgs4Pz6YV7SnDvXRJ/cLrNfgcTcyDJgfh21mUgJsILQBt0U+hET7xoLeV5ZiT0tFs
EZx003Nk2aO1pV1sOD+zYlwcl/pquXhE0etUK5ayesdlvH02FahzV/rXfsIsPSb3QDl5zfJ+p1Hm
yJXucztYsekO9vQiVHhJbFEDlOT8fCzCeOFOTk11z92w2lqugSihSTOGNCLblo4ajkTCYSDwGrxT
re5P7M3iA6o/mvJRxOUs0PuZgG9HVyNa+xlcIkgLyRXWkb8XFYsWihDPltLjY84A7TQQyj5gOS4A
D8kflpmIfRr3+XOWpHh2C59IlDuxHk2TlpxZZ4Q/m7Lqt2EqalIxWp3maSAQHjLTJfaD0mPThc1n
WTVshMsiWslxDm4ZH48PavTg/IxOuh2pLK1bLU845O07swnZv4UuKJZgoA1ogUyZKr+7Q1mM+5TJ
7e92CnhOpAsuB688+GaC8KKarYcwxX/RGcwopgijVmsGFFp06DGjAXKWtoOPjrDy44OIltBungEb
AKkmoS8Z3cukA/mDm6p3qJn+vGSmB5nV9JKd25vJPkZ4d0y8erqpPTf+EcRVfVYlmhv6d7O4ZmSA
boO8mfd5kCUvMClekA+BW0T0pzQFp0qP91Xbi8++ssiCDJJ5f6w1YN5ekuIbWdb5YOqQsVbvsdsN
nz1GojuvsocT68Hh0LbYncl0u2sDF/DOmtWL7yBCwjt9g1tRQNQFdWAGa6yhdCImu1z7Rs25LRS8
c2M72eRjSoWoj7ybxZd1P8xhdQ6tNrmL4ICsS4wlnYz7fe609Qv1O+r9Zd7ctvXUraOpMTddbIlt
vow6+2ROfvREAXbZMM3XMOIJzi0APLDR3ZTTwBow6R64DxlHoLn1jny/eodKOx+sjHPeWJvb2Wbz
UIqivUNY4W58f2bOWvjdphDxefSjlMmBUz64icm6ARXOqrEwWLieJ+DZ+OEGwN3k8doNrKPhGt2m
RUmGYoMtkIny6Txix10ZOQ/gYZ4RvfBsrsKx+2lZDAgCmVlrJwjgGcnfsfCndZgQUnMCHiZGEzNh
2ic4rDo9c94PubyEKSaoInw2nZK74vI5iMy10fQOwRpmlXjxiTSseWCUWxXOwQX5rEjW6GuQRaZg
E98NhTIIFfHQPInK/4LxtNBtufpaKEIia0uQ+I4n+GA19qmNWAl4MEMTZNJAf42VayRXKFjVxTNl
whLUl9tauANutuiZM/zeNYiy4HBriOYZwU9qBvOuDqqPcuQFJXX21Nept06YrG8wB97O/XzJg3pa
c7dLfpChFsfOMIJ1s/ykiYeEO7tXApENl542KD4KMb8zbfjVeyLkm8qcY5sJL9p6mudeNy3i0xiq
+ziCOuSbaiA8Kh4g3FGswmy9BpwoNgwA8FghvYJB6dkH3afNk7J5eJ21IuzH4+LBXozmBlchCZGS
ciTEWfd9Ivg5OO4H1lx0WS1RWtKiH9/57v+Lwv+L4y57RRuuwv8Wht+X/3DS/e+/8ReGkfOHCKRL
u4Njq+RZ828hePsP6dqO8CzxVwDDXw+6lvuHbzlk5i2kE54tbZpUfznoWoTqEZRbpmk7VHwlx+N/
A9vwj3Ulz1k+MXL0FKVc6Vn2Px9zhQdMxM0G5JZKESQcIpw8gI3WXAGWK0Mynv7uO3P/5wH6/xUd
isGYBOR//sc/R9///Hh8QBcdC9+Pf+qQZMpmfZ4xVpsdzT7WUV8Y1ph3Dlgo/vePRED7H4/wy9dG
kwvERUBt03P/GQZESJFcexQNW2GZwChylyEZFRrrCAiuuqSh6i/dbCdE/Fpuu3UTfMis7O81PLUj
2FmmG7WRWidzYphJx1s74MkC1bw4GTPAFfNx91ZKZZ06U+h3Yu9uSILNI2mXcGUGaTuzP2GLW34a
i2ZJ+qn1lPtNC/zGoyt60zqNeR9nQqu1jmcOyInnfLYyKinfD0mPayjrvrrRiD6VjEOWwFALyjCb
74NacD/ljkMshfTEmggA0D45Gze1GZj9gegtO7c0CvhUOi8MX2jzkE0XADi4harMYznhTx60SkUe
g8A2/PA8S5jDd8FAg1s7jShXttc3Xzlt5ZMHMdpTvB6svmMm4BXnYpJPhRtT60kTOyQIwU6Tx4Xi
fhwzeo2CJVFIGGxZOBt5lCxxxAeeHIp94Xpn1gHEYALSuHVF49IODHbBNC7X3Ez7dWgCGIf6lkXs
YH1Wh6nLkNIAcWdM+jVGq0JOlaPlBMt3JT0ekJi50LFLkl2miaJFKQUOa2TjZwRbzBbTPlXiAYM1
i3HjyqhiQ6GZZaM1Rnu4KQ6ajuAoasrxKYOnddg0CdNYaraIEVnYJ/wHh0TPBBekszZYs8srVmWk
Aes5fHAhc+6bPizXjsc3RuG8dQr1pkR6wWnAYkSq9yHkpW5pALxOYexpyz+UabPxl+8o2e1gA9T6
sbUStTZH8eF24dlKPTI9SbZmhbpnz4NFblAMeLVNcpR8LVjRD4JxOzs163XetXvbTL5MIhvbNGxe
XX7Rh/6tbSdfaRCf85bcepWyoutDalNR/aigpXOeJZrd30Rhumf4do6yJt7iLuB1xwZkps4AHfmc
2A5d1sQJ9V3dIsA2yteiT6o14yoWkkNG0pG5fVclG6axcpcS11w1KEzZpAcFT4BDsGUZRvTbZygU
B1i+6QTcigkqph2O71GoX4iJIm0Ww3IG4PAsQ+MJFPmZrgBBRJJ3QE4IxbJn3UzpEvaR6kaFabkn
UMuDZsAXEPqE/vlw2RC/h6B+k4KeS4Z1iRFYSSq3JLZq8qHlIAxyfC2Cde0OEBcjAjcTQTQGnjjg
sPACBoB3S9DtqTUomJN4eWLVN9Isyc99wc/BMat3QgLln3XE/7u5/subqwXaj3vb/zxK+q/i4y1/
K/7EBsa/y3d6Z0edvRUf+u/HSx50vO//01+mS/Yf0N+4wXBLs1GDBHQZ/xSkMHdi+2BLyikCAQ4N
rP+eLlncjz2XJqZ0HHphYuHd/eWmiwvMdbgfk5MhO8Gf+LfIgf+M8/OlyaCSz4zpV8A96nv49Hf1
bK1BMZfx2Px/3s5suW1kW9Ov0i+AE5iHiI6+IAmClKjJlm3ZNwjLtjADicSMp+8vWft025SP1Ptc
9MWu2BV2EVPmyjX8Q5RONKVzB2sCMK6h5RGZ0liKPZzKFzhXzLaC4pkBISCBRgMWN+JkmTVYGPt1
B34Nu9V4yj6PDdv2t5f8l3P6giAL9EM3aMwhYOYq2yvyjT/ZcWAfyByKREZ+Fc+ks7YZwj61KBmD
09i23xnS3LrdsOsSk53rsr3+WzdAC87kVXmBEs76ncKOfpnwJ7uUUZxwA9Y6j1thlNgVZjFtH5rK
Qxwj+AIOb4D/sqHz0r1zCxe5yvkVuJBdDdvRXTiMF7lKZ2emxAijjeSQqMGz9zjgFpK17xk5XehB
/fOuXVhM+Dl50CSti0fF0qSjL9e0Ud2MzaFPehgvvXhqMA3eY4mabRdckJEmQCFrnCimvJh2ujab
Dw76WejT+ugNYiP5vcspd6Cq6R/AimAEyeqDATbL41A3SySBU4SaIJwxv/BCxxXgD4Hnh6hKkPUN
5n2rpfgYxLzIpXW/dnF31GXHqZW18VVSc9qhcbJEUNvSmyX+BBCX1Vqtjw2gpz3jpfl27ooXw1rp
LY3lM2wZf1fK+Hb1g1+oAn2wVu/L24uEdu8fTVqXleGpZi9gaSUeob7gb/vIW2s6eVmLnKQVY5g9
L1/zOEZnENdi6vlsa2PKAOJ3DP7p/f+XJH9Trf7fu8Oubjv4Ynr0PM1zGPnzwpUIPNGhNxP5EAFD
DO+Rk/XX/kBiieOABTQa4fxxSzrgXFf0pfYM7VHD9MFkByXzmjJN9oNPvuJ47Knz/CWImYg17bTg
mIIxnpKBQxxXq81/zpr/+t4Vu/Ti3l3D99BH1RHt9PSLZa2jozguXlpGAT7jOzDszjWTGLKmMfiA
5hHTUK8voz7uq1tSj+NoGUcl1TaA7eGAdI//BCB73jfOyfVcqDsdp2ag8dDewtOAVMO+w1p//Lvf
2nbxlCJpJyA5dsCp8fu37s1M06E4ldGkSboQNkHB16HHn1+0dEUArJz8TLNL898SWVDbkyvbFHG6
6xi6E1xsz8GsUMwMZBnFYye2I/igDRYw3e7t5+NEevVZYETj3KXzcAScP5+vLgU25qj2R9DJ6siT
iHHLOH1++yK+fVEUnR8GtVoTHU4UUn3z4uvTq/I8oFMlOmrlS+xhcULvg+QpqS0cilVKG2gTZ8vY
92FtrEiGOOWLkdjrA9B95GeHlHOHpMmwR6afKGqEKTjoQwmab1+Aft8i88EUr/YfYZQue931bk3k
Jo/ZNPgkiaTvIyixvWZNPRbi0Af8xon0mfjmGLO5Bc2iYYfLX+tSxzhR3WFwM9CbCmL+e7v1mRoD
stuYK/+vBbh0OBeuGNcH+5rpJPQcYTMY7j7PPXrZpkCAKe7z52rNnp3ceqjEGl/BYIa/QnoszYG0
fkCnVQ/qgzYH+nZAbn1fNtmLTMgrBzx6IPWS8hdjwIIzWN91AnQHUfJnd2QN2kXyqV3Fuh/L4DFl
ccAaBp/hWQ91FmiHKWWMapn9E7iaYDup6L0sRfdFzOTfNl3J3TzX5hZ9VR/wWm5/N/SFsGx6DHRI
Z7tk9ndWy/AicRlNUGN9qyVNMxpl5ocRpZVNnq0cxCuSs16ZvxgpDz0mvQ/VhftN+v6DNItfTPBB
esKATaYJhTafwD0NogsLDpAdONEeLSHtyVPUTDuWNEdTy985uLVtB7tL92wxCB9O9mzZfA5H2fNg
h2giftXD+7Srk1OKj7kRPLaA+tiGaMoWsZ9GJD+wtYfR3pYWn6bu5Ac3WxlxiOGOBCOKvfoZIoc8
doOgGvXKLgxm2hDMhgR9ttylE6/YKeVLHTDKwgv9uu1HptfFC1UYg4Bu6XaJzYN2U4UJtnUTW6xA
H0+5HQ5It0XMGNxoOQPwoqEWA5e5iwXrvFFH5oKrMugNLoVY+Au1MCuWL7t4CYAnJuUUV87nscCR
s04oRE1c2TDRTF4apVRZg57d6Nnk73DlOM0eFV5KsbUt1+rZaqrybqCDs3VHzf/ICGK/5umza+nN
IV10ee3G3iMjMp6R9PTk5lTV5w9DZnDbwWQLC6DQ0BBYu8vEstFhdGy6uOw3Is2efTzjNk5iPVh+
GUT9Uj77+phvCla40bM1zgtXrtx3XM97AB0QUioXRpT/KAISmRTa7z9boGKFGYb1QHOzA0FN8gnO
f72pZz7WkKlsQ+P3mkpYGz9lBVkGn7/T2S4Ct6+NyYzyNOkIUMFvzrYMCAvYldnz+ca5XbIY1Fz2
ucaZhvwJHqDO0H2hxxDsB4YOoGoRqSu9VNw0QdCGGUSNrbcERbi23tFwZ+6pAm3NJBBTpnk8NRgk
bXMY7vsZ9OGmIoBpakIaeLQIAGQ9sHRpiqoPjBz2g1m2T41gX7lz/tKClUN1Ln8+hwtIDi/9TB4N
NRZx5TzhAh2la68qfOEuAJWg9YF55yVSDJAPreRTZMneZkQUy3fM/FQ2frHDm9ffEaiK0F3Fk2M2
p/PphAQ1luQJbwAFivjKdPOXRY/jezNv9hVJ0jZzVzuUXS32zmzuiKc/65JgYpms3JqkawO4+FPX
sY9tjd8dibWF2/BCZieSXvnck1+pcAbNgZBXurfnoDQ4hJe0755oQHEwDu6t2aAg15bOA/VOHWUM
rulD5c+LltGUsWh1lCMf91xNAKBl7JNZWqiOHbfxbs9POC3Fi9oSWMg/qKPAc82HXnBj528gzOA2
q/CH0esYHcTp5Cc5lk61WjbwC6HHO1XYGPJJz23j5Eg6EiIpoQazVCS0wn8inW8TTBwUH5vFIaLS
yQqJJtNd5y890En2b87ORMxu5b/ybe2AtVd81auvA7ASezom2GsCd9QBM7uZxTpfnSNxNqtEzE1g
sGb0JDjj6RutPmasosXzCiArd+LP+051LPyODzBkmJVnzbDusXxC2RNHuJ0POXqHqhPYGZ03dj5X
LJShQVuSPBeuQ3cpDpcUFIAV0+vHHXLcqhU2rwTjVJCmE2n2I16Am6lh0UmmYlt0qFimqpfiA46J
rICEQn3dLsd4EUuUjZcS9amC6qhN+MF2pCo4x99SRccYf4+oLgxrowVNc2hzMO7qjJMBF0igudK7
YgN5a3FCjwILhZZwk6Mrsjunw0g6lOGAwcmNFpfLJ7wrMDTGlg1bC5IrfS6ez2ul7qtnpiwv9To/
xnoOydCRtJBGXrU6beKAuFj0bIFY9sXNjADEztVcjOGUEIPdS+hc4EfRM6nbvTfiYmG7IITOYCV0
9sjPHdibbZseStFw4C19e0uUbEHzp/3RnugZMdp3N7OVMrA01mBfDBOg3gYDr7ztbfT0JqD8ceqg
vSrWBOlv1Vu0UL7ejwaaHL2f4a7ogQ/LoKxAXnmKQeftZyqrH1pQrB8RPxDXel1geif6j4C3k4g6
J4OQYxhPqMgxZK+WmowYfkM6GDHo5FU/wJLdM83kpG0SlRqIEZiak3r3xlChf78u2PVNyMcWS9ug
tM6xUKTkye0qby1Qx/hbzLSVg+R50Mp5l3tmt0VaycKSaO32yLus1/Bc0G2tCfaqzGvAf+xSI+Mf
PhBRB4fjQ8DY7jaDxIOKaZ6BcCppecJM3HbKDnIuE5scBatfZEA4eZWP5GgqqzEStn50xMZoa4AC
MTq96F4d+6B9KgPQHwHQq81ouRMaBRAPkCLpImGgYJDRBOTyOT/W82MKUbZJVyUaYRjDXg7OFb3z
b0mZTL+KXqaHqmX8OKEasqWA+oEkIxOG5ccwkzxrTBc3qQZfFk53gQ8NYu+sBolSZp3RmcWdMwbA
hgeXmblg86yDltNEtrpJD0ck1kme7zWYsUifkSbqiNsu9C7x6/wBaekGwdXrrCH+2uPEZH66ki4S
w35WCUK59ku4bGlvAv9gzgxqi0H77vRE3bw1rGO/2g8JPjGbHI0CqVlIoICx2+j50O1kZmiHFi4R
EhAVu1ZVPmvB7EJfCUvZkL0YcxPs05T8yUAWhFFounyyertVX3jFuY0TCKZQ/DLlWrM1Db/8XLeD
fW2v+tNoEio0o3tCToaUCkbFjwRqAeGtHjBS8DBgbEiCU4zh9vhWyaNODVegJYodzzmO21pxUl1g
lBgY5htOH2pjE0SDYCJ9rujRQiYcWGxTX5DIgPh8YEIM56HOEMitWLeNWqIUzJE9Tc8BEM6owEAz
9VkxMSP7jVaPBE2OAnWfquVt0H2IOtegLOS03gSk2YORPhdO86QXAzmyoz90QDnwZ/dYoWk3X53H
SpnuDegWJPe4QZ7EYnyjgGz3+ujI60435adBK77mnGkJBuKtuQRXkySomVNe3OSQKEL4wT5YmZ7s
WoXTta/Wm2LgxBv9XkCu9x9pOT+LpTqRYMz3qzdLskDrRkjyGs0ITgb6xdSNUKV7hd0FqPkxMCfU
cZh+9WbJsyIPcWtPeXqvAxf6mum8+5o0OVSd+dJmhYmS1TBofkOCxTutSiX5aHv+58aqJWot2fRY
tRocKclyA8A5IlGD9i0j7y0CEAjgduQ5RZvOtxqU3gEQhwrSyvR9HAW5dwfOPp/IMc11FFGd5Zu2
kc2hTIwo1ofuaARMJrT0BTDLk5ScQ13t3CYW93k+0fuZIkylO61aqwnL5Da2UbZOyAkoriFtW4uG
0RIXsNWZWS9NCW6HqmWdaRDBIClgJ8snwAjUC9Mw3SWCLYUEIR+77uuoH5b4aqEzuQn0cr4rsHf7
0A5jRqcdennC8Gf2QOiWVPTh+ZRDprA+ZSMjlsAGG5r4gXFKBJcpTdbwDOP/G0j59KfMIJjStWAO
EQyITIPchN3GagqWOP5eTh2/IqsXfQVQXMVAREtOvfPqp97E5y7PrihWX2hC8FSlYvzANAjMB6DE
lHoxJ1cuMJijUeXYKzZySTDeOC1fZCnUGaiGMkODK3pHDkVQSMSDBCrCYQZIBhwqeAUdxYKMMEYz
ssAgw3S3OOheacOaEXHFNXyVNbRbLr+UPvmqTYKVaeZdKUeUvWwmh1hjGNgI0pVitXPEDXyisbYf
zmdvMLNPUzt+fLvwd/7WXqDHaKLH5uGAc+nVMua4xiT5UkQgeCnELRq2To9Rn6ApiEPvCtHXYMY2
8JX7FUfC1KwGQo347LRf/FY86n5msIcpdFWaMXi6Frqe91iMyT0aFCsgOk87INQ97NIJNSvgdPdu
peFX5/ckwH3y6dzIPNdIzMN/Zn2Vvrhzj81JD5MBcj3c9l7BjiGbu2KuwKYYJHSjSko9aqCeoSn1
UoHyce+Qe6GU808RNhiW/2Hwf+ZaLK/rrsVrCg85VpSaD1Lz7pzEj5FgMuZ/v0XORADdY5MBPV0B
NaP/vSOVw5epoFIVqJJQcvjeFF91zGsPrknShXr150y1Unk+zv+B7WZgL/hOi/p1AxSpDYYZoMzB
59PP/fMWLNz6nMwshij3gI505poeOkmelLotVFANYHQKhpGhZWa9064y/tJGpHxX0F0YC1gVXlya
nW0MWREMkQ9we+MQ1Hc5Gi8Ks1Xt7FWIbwpMF8b6in64IsWP1fgxEGYE78h4ent1qw7cZUvT1T0D
QSDPY3lf9IEHc4AD2UxFZKsgoBoGds+W9jrmwGf5g4To+vYl1eNdXJL+qOMB36D9TOJ98ebrXqfc
jIeoiy0/LFvIZm3C/zNK/MY6OTJo1QASTbLE5WGsDm9f/S+7mTkBNwAX8TzK+vPqFS8Vj0uksFqf
ZKygobNFsa57Z4X/5bXSZTZhS/r0PV+NqThNEQojl4hWI7O3w4par8znbwzib7ug/Lr0ZfbOFY2/
PRjmXSxc5CLp7qtV91tHv61lQlpS9VGS5d01TJFgnwGUOBISaOVMPiBTag6h0z1To/VqLpcI3Sex
mZMW89Ax+7mWn99+1xcQGdUxVXNE0CQsdprAF4sL2T+ZBbpgjxX5N1y4ll//JL9FTo5Xzu3t25dT
U8aLleVAaAP4iXEL7FHvohE8mGjxxfgJR5DQbqVpBjtIk3XYxHa21cmagWG438GgfBIYqwO//CQz
V8NvdLpB6+hn70/o3jgwYN6+LTWVfXVbgekAWGLlGUhz/PllkA4TS+IlHcjNkT5NSfLstoSaQVdu
RCbouKY9pTTJvli9EPuu4RNpKZbFCjRgyJnGFHkc+ssALbHdAlPhWreT0ctNn+c/3O7g9Pq8W21S
kN47WmAdsOF4QeoDHnAy5KHWJ2GKssTWWxNU+mtmS2rqWMD2RlQOvqBd9QitWaq21hG+QwcMXVgw
n7waWllqbHc+2HBblse33435+t2oSTLylBaQLcROL95NYIxzT2EoIsTqZvTL22Tr9XhnllNFX8xr
++2Soro5Q6Td9OOonx+T1urWLlsY2j5IehCRIzqOsrgS+qCFDliQcFR581qQlXZVApYeF+qN9OmE
JtW78ewsNvxnQPNAS5mQHhTdAb/iP78vvQzivCTZJCmFXh742o6eGvQqT+KsjdgvohwnP3BkaIDv
BS+R7eWEPsvbr/L14vew7mN5IciKNrJ98SZxELCg94B2FIu8MidejEK9ZPXovnMh83WkYXSIRjhg
aTSYQaP++bxMQeLWLAsRxTVdwZy8x1gKEKFeX7+UK/gez6MrlanuMjS4ZlOj4I69WwAMthqT3STS
Z5MSPpuYN3kV9V5BCXgG4TSqZqwp3ulvn6TFbN4qacNpMbXL22/rbx+NAR4DUMfT0cu+nBzXVK6m
saYiStEZg4WN5Rd2oGJbQY7ezNXchtY0/FT10hk8M7Tpy1L570Ss1wESV0JkoR3LtOzXxwTqiZ0n
DENEAH9/WcGC+KwJ926AfrKdlveuZr6eYEEqBPnI3Bc9Rc+/PHkbo4e9Ywrml8jNFqJZdmosuSLw
sA2MxKGBS0KteLUbcI/JXbU2Tw2+9DeuYrjZOiobPv6epd2uh5HCe1PA5t7YFZW9FncjxILp7u3P
9Poc5Y4dNSj2XCL6JZBAOrNXdTNby9NQYm066LDoWRXhoFM/0coGQaaX7wwt/5LwczVWhI7sHGH7
cieVpA5T02LYGuc0NtvGsinEZ2yQGnvGQKinn4r1MhXtcOxoT10H4JHPPUP67VpYmQ2+vMg7RjGD
ol1fjLANHAsH5SYx9i3ZrEAfjuySsltR9syVfOvcE6kNCieT8fO+91Q0yxz6tWr8YiNF91BQUW0r
1A4OELvtKCkwpEEB/VMJ6GpjaAz1hOHCJWXosE/RSwPLPwWRoyaUAD0f5ok+yXm20ZQ2Jttl8ENV
wm7Wc7lZZ0IRf7PQM9gKAdEYiHf93wkbrmUD4GEmrIPZ+DNsCBD4qbQJG8nSp/cYLdAUoHzZm47d
o1WFC1ZqU+SCb3ymbU432+FD1xM0xmmAi1K7crryFnpE51iP6jOj0SXDJ8ruhLPre/PrebRpCwO2
C9Paq4px9y3qG+/Nm18nsGBjyS5AMyG3rzsX8V4mNiNY6XVR7XEYo6BW7ypPbQk7Ha8TGVTbwF+r
r7YfezuwoMU7Z6b9Ov4il+g5FpgXsEaIjv75IgN/LoJprmFEl0zRGlPO90ZBv98v6YRbbWB/rgW8
rsxKi+OghCELmxNy1uhjo7dB3VjU7W7QUQZIVpYpZxcTJY8BEGoA33RjuCqW5knraL6e5w+0NgyN
Pl8852EaQ1JzhJoGODTZc5qSkY6E507Oqp27iuxBtpON9o2zg/R0kqNiTiPegLg1UQU38hf+p3hv
mv4LHHMZ1T4Am8Jj3Ph25PhLZoF2FlYWiIDYnMqueou/5cMjs7o6n9ImahlSnAcEkIIYCaNiBOeV
bQgJDC5BsR4RnkF8ICNjiLPPDA/E8TyGWRXBV8jA2nJaP5QqvrXuo50DCI578bVmor9LFmYRHo7j
0dt3/zruweAko2Df65SplzXS0CNsAwq2iTTfjoyY+aIKFcVCVXzuRmEJ/k7Ue5U8e6wp8lOKMjiA
HOwXqwrPp3iRBZUgrW0BIaoH8awm9+dZTHf+vANDoZH4ApID0MigxoBj3/obC0+IULYSMUPALBDr
iTlvv4/Lg/J8cw55LftNoYbUn//2MeH357lW1EUECwQAt+QeFtIIaCUo8am38m9fTm1xkEqWQTHx
6tgphIM/V1NEk6NWLRjWRSOhsjvWDrXjexWxf5kFe8Q4Igo4TIBsqOtfrNVUjkwbZZZGaZo6pyDD
kiGFgbmbbeiRssDFfoL4GGYKF22Rhh4yZ4oPhqHVt3Zje18muwru8xEpVGu46zBUC1u3dzf2NLbh
xB7d0V3prpEjqqNggsYq+jo71VYOgnqsmG6ufb3vMn48G6WrZtcPGe3wYz7Uxr7JO5S+kV2DNeSL
AzWMjTZuk007O3HyrW6l43GOpz0dyTaUSWtHFZJQV2A5NCYqxV236Eg2AweLPBPxGhtAOSZhWr6L
8yK5Q77M3CObOO7K2vd3Q8ofpKb2bCi0nTG1w8NCoravyjjfeSmVWqyc8goyOjqCkrY6+gMMfovK
ugKg6oADK4J8h7VyjRC9jYV6LscJpAU0X+ySrMjyWh/fSu5BE3FCf/cjEjh3SZqZO43u8LXvaivt
n9X4hh+NFfVe4byz0azLRB1jIZIwLCUpiIHhKZL272sZgXIZaCWnPAgK/3Cue6wS1Ejd6Uy2yaVy
s9LvRNvWUSwme2utCy6HQn3ABp4YPAgUBvOBvN6TXr7LyvRHiazt3gd6CM1icmkpjXa4aPigIavM
ILyW9Z4hgr1VXYm9b63a49JM9ilQP583/V2fmo+OB9pkml2QJM5ghYOsMNLKO/+dhtPl4QXsjw3F
DiaPIdDoF0udyGk4Vlv4SOeukYQgQIvond17GTzPl/BAGCqfcQjxFy+YKsyhEZD4AAZysWtG2q+j
HCkzlBZZ11st7wb9+7dDxmVSwEWJnfCK6LCrsHERoRLNd3M3ld6+RXYyZPiFssKqt4zd4A/4FiM9
zUI9spE6mq190b3T1jIuc3tPOXuAtiOBp59Kx+XPVbW0aPjnVeOheCU05vJ5x9e21rMiMqmgExxF
0PsR0e6RtkMRlbY7fnr7FZwRcL8Xwud7oEVuUssA+lUA8d9XNttGeqbU3H3uFtpuXNruUNmWpBDX
4aHKMQvQ4NS777O+xre8SPu2mUGd1r3pf9QKD0HC0cN5arLz/YCX35PeYdhQtx3ZXSr2Fa5vH6Zl
6XD29HicPvVObWu7J09M7WczAZWAK7SBlUbQ31tegm/AqJXvJF9nh5E/npEEFmUDeGWY2cGYvEj+
lqx37ZYjdD+wq06TJee9LhJjG4zNeHV+iAATtHsdzd5Tl/IHDB7jbYAt+K40wI6spGA7i17E1krj
5BCgyrrzmlxjX+sdbo+o6YDFOGgjtluDj69qllgPhVlZoZBKGB9VykPZuohgO6uPbqM3MtXGQ9FB
383BFgQxnH4F4dOoGXut7SthrjupDFTRutsXsu1uZ/7LvXBHIBZp8gHZLA3uyFSijyhQ4cwtgtBw
5Uzwo1YbveWkTccbM/P6Jw2Ry7eXjPXqYOd10oQHU+nRCoaX9+eSEUEQZyt1E8qakt7JoEkkesYT
erEfK4xIIcnaBtaUBl4ELhKuJh2vbe4I/1BgH7jRMrpXBfNlDDLZZnk9ptdw8/XvLSQYxsvBes2v
uKdxbAZFpK8PNJIGKDapGyEK9GPNRXBNladv9R7IntN39r418TqppCm3KFl+RgsNkuysPVY0pHcF
IqXvxA37VbTCUY9qk7aR47OBjYsFlaMrgsRC6eyNkcPbh6PwzZwnhmDcOLS4wTfDofFxNJlmbW9p
FV6qa5teG6hu4r2MFl6exgMstKb6lCUK3pGx7QpcQzGQcHJtb06Chekm2k4CjtvpCDqEmB3kWyPz
kVDWfQPB3SGal9QAS2B/nEbrydYQ3VkC72OcZj+pdQZ8juVwXfWaB/VfjDdJnfn3PflkmJaodQRj
STlep2JXTXMfufQGIpuR357BJAt95JJzUFrv9HD+tnaYXNg0vYl9r5JC1LFTZpSsHSzWXmAb+Pdq
r0g4VdvJgKL49lL1Xp1cKI8jkUIWQbsm8C7BzNVAr0ofeiIscKpdzhz6CWBZei3W2tjqazXvLT3O
b1O3T69NXxLwJOmXMfHS57Elg/enGGb7+GUM4tOUuDfx6nR7A5TP7F4tSd7sWrwO+BtAXvm7W0FO
uENjPd7KnOPDnNjNpO0vaGCuD2YDmM9oV/SDmgZJSos9ICgKT3mnuyFSpske6ZLp04Rz0AcG/vHO
MNPxQWTYv9gmOI3CNmhxIdcdJhC2bgBzBUcmsg89/JhDUCxEDtSUMbStvZOEXXEz6YTlThTFvlO3
w8S0VIn4+MlZWFvdyLmmpaOP3peJpEHT9uzCXstvTb3R4WbX+jcr9kogMgbj7DRtNDRwK9rOY6Lt
W17kJvUMN0zpBZGBsiHWdzbaX1YLi4RejMKjq1Pyz0jTIVlZVAmoWB+iIjGE9yeFw+HUIBzqOWyI
t9fL6+sphR5kdZgAsTgvq3S3QOMOgRhnX1YVCYhgNyj9xyOYI/+Qrk77zm4wXieWlG0wpal4gal7
EJz/fEIfeFtrJgmuMqA+wmwBGYqVlnvKKgZR9aqn13NgZ2HSuXtkqOVBdoQLFz/osEF1betNNaOA
CVGKmcoZk2oOKn3kU+uNLQElGH0kWh4lcxv5oeoI106tDnfcUjh5svIe3Y/viwojSQ2hN1OCYujK
fge/iGSoCyo0bzJtl9CbfMR4sTuumAWVY1rsmTK8tGga7tbJeSm88ruZcu+a3s97dFPXa/paZmgM
yLIHjXzEip1IpRH5z0erKEi1JJzQJxBlVoiBw/pgAPIFI8JuCtDni1KW4HWTlvr11NvK7UKdphUK
gYkgLykyzhlUoNeNrvbqYhI/ZDUsz/VKfCtG1vmKJs6ukLI7gCzm7CkIu10hWvyyCvy5a87MEiEg
BhaQLem4rLtAS5kCLPic/vOnJesdJVltj98t1XwDMmQ3mFO7Rd9xQX+fX8hTszvaWeGxWQgXmTGR
D/Tzykucu2Pa6/6N0TLAH0r+NegTH5Fodmid8lf0hAyijgP8VTFi24L57iOZdPI2M0AR1X3ccC7w
mJpj5Lejtq7odBhdOCyNG8FRgsdbZby70vGjcnU/uWi9VeB10aa1zSO7czzBqUGIb2LXJM7iR3hE
kLJkpNHn7R7gYQMbAocgTeMUEAGZTlrx/lM8Iija+Rzn3fX/jfepLvSjYRSSJcB6/9f//NeFd9/7
73/8C25EHMAPwy+5fPiF8mn/n4oB6m/+v/7hv8S83qF0GugJGK6Cl7zB6ZRD/f1H+r38H39xEPy/
P/AvKqen/ACR9vIt08F+Uln6/ovKafwHPCAUSBxDyYQpBbH/1AkL/oPz1OVvm7A1bcY7/4fJabqI
LugIKPBzdGJgN/478gkUFoSj3zNpIBDgy2GMQgTzHZoff4YrPL7EknEoHWWWJTmqyl1x53XOgHx2
PPSYGMxDmR+qshZIa6PL1CMcUA/trvFS80hfLA9dw5RHFFkd98bQYcigKpbxTzAl2dc1E0ELWx8G
TahVEt2gxoXo4khTD+nnWclt4zhVdtDsRXxFVwHZlsbIarnhNE+ooxMMQUL4nd7nbiKkGr2HV7sv
xhBRAxOYm28/i3UpijCmBGFe29R9ibZM4q/bdQqmh8AY8uwwN/QotuasL+ahnXMJlXAdQR6PEC3u
LbNFJ9sWAurH4hjJTY1wxQN5HuLpRTsiM2DkE3o8rdZiJWP5lf6SZnqDewoYMHRBsX74UKexDR8t
rpKnFv4WmBJ0xH8gjNPfixwHOxCXNaIruZiGjSXt8TvCwvPR8XFogkziZl/BfXQHGSNaDRJW15kT
uHI3VaZ7NAzUJq2anBVd3Np0NxZkhcfeNZcnxkd+v0EFMu6ZIDfoHfke5YK1yoKu05JXTig6z7ox
K2O6mWb0FayqBJK42tl6a+H5ZHw0OaPwf7eXNtnj4mwFX8a+bo9Lm3ZGWAZoiWI2lphttMwGRneb
Mulldmy7ztHvfPVekCNfkfne5/Ag/McOeojKR5juxtAzn5h9wqVcRvWy0uPQp+hN1WIK+Rn72grs
9uAXfrXcGZCI0AD20tG4SzyfybPm9dM2n/J2Z8QYy9iDPiNjr7/kS7uEdQGMaiLOHRuN7jA9JHMj
W8OEq9Nho7XE6y1HM4o+FjqZy2r3+6wwFtCDANRRsHUnMLjB4H2ksXqchGbAbEQw7korhyq08/gj
qRX8/nL8YgrsAguXKSjrA0Cf89OoqmM9yuM0J3WE4jd2FF2AEjL5RGjRwLtJTKu+clk2HypLaEcX
qZ8tKgS8urb1UV2qFBVa4EAG2ABTvK3rQ5NcY/+GAgWfZxtv4nqs2lOZTh5f1U5/2mNXRr5dV1+y
3qlvR6twDsOoSFRBA+8/SDFmGLvkrkDnHFuIofngIaB7yxyV+Xzh4IvBhE0ByvT4U1LOH9F5x8q5
L5LjMkwIJXievBJuqvQNmnjnzZa2sZsc1nZufWwbA834OoGMi8vW3o1LO7TrCdVvOzA2Y0wrweiH
m5b5MGpgKZ2WfHGGxzIV96OQIFt0DBgG+CVkz2l/F6dlR5ay9OQqILoc1JIax+QYk1ssmj5QpZaA
OLWPdS1+DUN2X4Cv2Dgx9JSy73sUDzrvDhWh5CnxEYNK+RNm20X9RDdXEIysR3tk/S/47zpV/LM0
0sgY6uCek1b/JfOMld6Ia+F6A01NF0e6QMNGD589r+6vBwao23bS+PLCqrZaVawawOAERdOhB97g
wOS2SswTMooPbBG7U56i1V53Vbml0J+3k+eBxV2c9Unjvvd5Hq/UZTYWoVY+3aB1BSIcke+P4Is/
umgGX5UOGqrAT0eqQ+mFvj0juYeo9YNELTU0vDLZMApeb8EtDfZuqWbnkBoxAg80aoedm6Mos7Vt
dOpxbkBlWI/N5TOGJaigIuV+GwSFCN3CK8IgdZwffStfRIsxpz747dXsxtY+RdQ5pKhHtKIYq3sH
ATIYd515NYMMfW5EXe+RREaLIpmQRrF7bAnKUadZiiVotumB8oTO0vpfpgDxcFGMQJF/O1Xv/zmF
fhfbQU3o8nRCBEEhOnRmwKpsuOhTNo1s0zzV06NvdmO/i42pcjHEaJa7Do7Jp6lBrFdgFkJf2WrX
alNjzvyISPRC96Q0fg6oMeYnuqyGgV6fA4YBnywdchRfH/A+jjObSZ88kLFeTAHNgBcnrNo30qMz
VP50N8PflzSz1+lz51rFhwUWEuq3ReCOzrXIVv9mXYfiHuMgQlQr4g6ovWX1wLL77hlctErMUvdL
0S0NCNliAdLnwVfeYBHtw/vwoCkEmH8dp8lbooH4fo0UzbzHOgPjSwu5SybvAcJwNM99k9zOKmGQ
0V7oP2PpLXbupMH0Gmikk8oiit2ThzCEdnJA3Zxbvd/QiQfKuHWnYF0Oviu1BjiRQTkaAWLFHxyz
xPEg9cWpTh4OFGGA1diGiZv2C4TXctV1GPKV6N+hqW/r2oeicMX/pu68mitHzjT9i9ABlzA3e3G8
4THkob9BkKwivEnYBH79POBqRi1ppnd1t6tQhKJbXc1Tp4DM73st9Q+tuORjY10bKwpvOL7Xk1Wz
P8SVIH59mi2yiVFS65aLpYfG/IKEVLwUWmWtessjLT+TkONt0SxCHcK00qN2Y4XeLRJesWxwiCbj
kX6ij7KlKCTCoWCCyZ8r6gt6tmgqSu5Kg/1GAHSuYKSah0hP8Y2VfHHMG8uim8NSQNa1Hfl28Qfj
OhruDCajc/tDqxUP5lz9GAV5hPjbcq59HO1cwNk910oKBuVkzzUVQcGiASPfT27H7jFWTb+u6GtZ
YCUoXikKaFa6WX2SOCWWdW3jV5qw4Bo8mxfpSuMWh+LLRarwUJKY9o2KhcbLVjThRvOiRlt6LGzT
3usMOzwUPWEzv7LRrl7Bg8HIvNT16XKnSuRcTRXBaq4SQtE3rIy5hkuvPkbCct7agC3rJgLy5Pl8
rhyJ5Q/lm2GF0dmrWuscR4XzOSQB+a1VD5sQCkv7ZNUjpjh3ehJkjFZsfU2PIXVcDJt54twsS2u/
LNQXi9T085tZqI4MOAjarcg8+vFkJ04uoeCnrux88oZgw95F7oUPut3aJ5KlmAjkwD1P4c7KsUlT
dxzNe5QgHQs7tpwPplpi6pAWhMZu0GV2iAepYZ/DVaOTl66lD0Mhh2EJzWXFa2L+4rkVatbG2Qwc
zZrDjvjYlDT1VciJhXKynjq5hDcNz0QF+XydZsK1Txr8GgZZ0saT5C8znvy7K51ux+hFFi7BiXA6
laTQE79MzovQEd44+hOnn4fZbk0eUvHsCDwb6Zha59LO+4cw8f3XrmFzjnMbvKQOwodJSxl5LL0u
bnyM9NGYqFPwZMzVNNkZhYfeQEiRtAUGca9x76I064tl7UuxJhSjWZu1+TbilDoAvOCe0Mc0ecva
2H2lBPa7rzpNJ8us73eGXmxMong5sURC80k6qne0WTUtnQpZ1KLBrviBt7W/0Q9svwbKpQmcXoSg
IpjS9OJFjIFtBzJkvU8pPmIuJe3NaePkITYC/6NqpHo07Bm6AnRPgfBNuj2YwgUFaXqfrcGgybMn
u7/bxNbkfHW05O4qrWvBr8DL1Vp0KWGSRglovLRVO77rXq2dUdjhBSyChPBTswjSo2Yn8mR37rDS
J7P/pZOliSy0bbwXNnZaYhPf1KxjmZohm4aph69mN4wBsksV58tKq2FGWy6LN/Cj/CYGL90PAdYz
O0SziA/HBgSzg4JgCp9JjJxyv6FGJifohc4mlRFAJqmIEWow31u3GtOdsofok15Xluac2s5TlUzt
QhLWjbUodZvp6DFj60aVhsdRcbxsUJ24v1hnjbsgdrpDlJh1uoWXmp6xjZmEt7YGWtBQaU8UZURX
Oji8z1IZ7Q1HHyDj/EiyPKUq4yEIeQlzikh55SXPCMUlhXOHYcbYx3iV2X9UTv9j24aENgNbh1es
A2Q76bF2GRPFYe/qEZI5RWfDd9vZFG80ORnAuG91cZ78GBAPUrM/SYxub1NkWZ/AjCMevcSUv8eW
piBDOkG6LCGaXwsFcr1J0aiSt2Lb32bc9/QEYBZc522M0V6Srr8OtD7tF3WSymcDteOw1AqVU0pH
N8CCS5S4ytQbiWLWGgXXF03tsakT/wJY6T/w/RTnoTWYOp2mfsvlQCZmYBXFCj7OrJYULVZvFIi1
ckFAfFcvqRETayMc1L62tWFLW3RCL44APlkmiFXCRVKp8oLpO76QTR/upGY13oKCRWtXF3TzLCl/
6rElJ8RfL6PYBhcq6tZ/xjRGT4Mo3SdDM8ZP9hjKDxIV2/ZCkg038ijE9bke1QjQ1uLBGuvh1dT1
W6+18pFSPRmvO7Q/F5Id9PLapyra9ZMpPrD+uvxfY9ae49BUe0kD3hrpN8nz0mq+Vah7+UobSu9W
6ri2JjsJn8ch4yZKe4Jn8zqPUNG6XnQMMaelGwZh7RSW6Jo3HfUd+wiECcrAip7q3jEPY2G19SEl
hyLZktJL2V9Ye8O58KP64nrYGjIy88gsyNUCJ0Czd53eeyNWR91qxi21MrAf71mVnHBjKItSdebN
ekMyX76aOp5OvI8jbYeSfhleIJCT5eT141aXg/XRj0W9J5GgPOtGqoiJpuR6Ydf24LNPVkxgEeAk
DRpSU1etHqjUycTw5RIH+iusMg3JVuLlNcbDfp5YOSc+WGd7zEtF6y7R9MtVX2gEFysxuIxFyfgc
DklGPemk+TFWSLJnF1YVkfVB8DPjr+TFHpdhP1lUAXlyn0xd+2iLLDHIhKCyCrWTVYTbEDc/hTm2
PHkaVbSQeLN/vFOvVUmn3yXXcodnuJ7PzSrWR2vFeW4R2wBlda1gx/p1zyYcb5W0R+YLt5zIvWAq
QghjlmvU29SX6Jk/LSrZhl9TPVnHxvNSfY3NZMJkmIdpuMphHo/oriRFgkMwjoeBNr9wT+hNHa3x
jo7vlc/YplOt/qSkL3+LdPD2uuYXL0Kk0bNPW/e46E192A66ZuxLA0DVcVS3HwuisCdcl9+UtlOv
GCCbxPyaF5laysbrV6MRNEgNhbblSqLXLR3Z43SWsdx0WfNDwBQEYq74stHKz76+SjxOlBatC5Ml
MvSdg4uuYUMvtbUmEmS69TQQnTPQmZWppeXCD2jEWsYqKR8axw++yqlCLy9qect0Sg9XYdN0GwKz
NfbF1oofJkApiPIoe7F9rT9nqa0ey8ot0INN2KD4rnXaNlHY+UUVnJpMF4eeF/5xbBn9ay0bd6Gr
SJiisf679NziIsxaPPLYMwkn9sEA1d4rI2hpx+ntI13P09GdDBSkdMXtUeeTw9Baxdak16txxY2Z
vL5Hti2PBC2g/+msckersvOm8yf3GVikHLIDiU0f2/UqmIz0ruqK+NrQVw5MRUEzCSLhYjDBGZrA
DL89O3oKEP3tbEEZdJ1ZqOz8gSh3atNHS9R3ZBG8+T35JDJthq1PhcjciY5rn4qlBbD5i8+BBbxc
DXvRxF+GCzMAWkHYWp1UCzTvzANmdzCjIN45YZsdAy8xV7CA1OAaKntHDVycJltmC588fT5k1uwQ
sLQ7OFx3pbVesuH302zc2Caek7ytksvzr9e4f1FF6MJGpA4dbxs2MXfOP5GrGsdvMXCQ7M0+Nhk7
5ynNo7fsXA2FPSwFj9C4RIlgLKrOIoZn7Nw9wXLB/9Hx9i9ENzpzB3nXjK3yP5b3T96UugswlBqu
2o9ESCZ9034CjQ9kA/XEQl88gq2da6pjl18ThDI89CPdUHPiRAs92/N+R3b/PChTgJONZh1u8sQH
P7MiQWOTI1AEr+xGEy8SF+4VUp1v3rGyV09SDmP9AHL50BufbqGKYmmyNb4Af2jEgbTWzewH7auO
aB7ECxw+ubrVuWSdhPFrG1uzGa6nYlaPAQUIXHih+JoHJY7UvSydhBQXrD/rcdLTI9ED9coaS4tB
wgovA7bbZYtc6cF18/GIttg6dVnIdUhu7sZS2atplfo97UAHdzCoS5pBS3eGL6sfJBNnCCekht47
WgO5iofqB/YMfyBQxF76d/UDjJq2dH+RReVdlUjrhymcjBeEhFIuJEE0wF/zwK5a0ZEvFpLNHkOg
PJHTw3Oa/Uz3xs+k7/9M/VS7sAHEfTp+iaLm7IQBuyQ/ewL1u9YuwBqwaPFKmkjJ5nUCNMn5QMKQ
kVTte3stMJ8gSLp9peoQVTxIaDqNYqEl9C+iV2BnQYvA+uLNm0w+7zSY7PnLec8JItVGa48uwVtS
jmR3GAMb0bwbefOWRCBvvKqrXGxNWYNRzojoktNE+6TYhSVLzftWMm9e/ryDmfM2NmrA25KUinEJ
lsO6VvmROd0cqjfehJlVH4L2P0LRySNSL9iC+JJEmYlzO7FfbgfbAQsHSKf+NKic4pcWOV28jkQX
frcWtqXrX7+v5r/YMoBbSCzEHmjCTxjEkv8jKdDNjUFkVnT7mFnrVGkqJLwmlqumttI9wfPeXnp1
PtDWXgZrVZcXLyuDO8L48axqzoADtg0laNqkhYSCazQfFXk6PLD1lMXKBid9hbKu6IWMLXmzB2Ie
KjOxwQDjAVeuuiA0vAx4pYkSGIz+zsBQ10IoqOAL3ae1IVjS2Tu0i92TtKaA9KnIthzjVlkRUsbg
SkQd5uwgRJBhBRtDD2+84xbNutOJxQx7tmbrPSeeLjTMTlPHlU0/3S6KpSBzw2FA5e7Qd33lZlfH
SfSrVRpo+UpbhI9Iz4ptSOzOOlQdDQ+lVQ5gb2RinTlc5NWjMIk6Ng+0SoAtk7NMRGS/FipLD5PU
c0KKDRIdWMCr4pfbNcg2UloPuky0V9Pvm+cppOGutJJ+1hZlKx93ao5X2w3eIliFNyXGvFgOeVlv
gjaNtjE2/ZRb13bhLJJ2k7jjXA8meOVsZ3D4/dVkG4x50v/KA9/n+up0Oi9Lp4hXqvHHWeiJyHDh
dr2/c2hluA96P/rMyf1BdxnG6yAotAcFMgJSEJNWHIv+kCUoI0w9Ns5AixNPJUNnlvjqiEhWe/fJ
glvzr2vhh73iIY0TzwTnreSTPga8AdhMFz2dHXJmciKaYDqutEn0mxGn2VtvGvGjFjXms0wQP+K/
1aNl2UuOJjUk91ND1zFRkBRccEotbZf2kBKuATcIASZuZCRPhd5giCE/GtU79lL7EFu6TQ9E6wR3
WKT0rUMrGe+1n1h3VV7efCpSUK8AUNAww02EuMu+d7Q6PA2TynLgHb0LFolVtN61SOcs7GomkYwf
PsloVTfRBT/zTPpMOdWguhOc9sxEBU0GK+XHY0LAUmF+Gj+slQ9/Zf4wWQ1Slw0EtPuc/TBdhalp
YoGqd45w4PQuVpxu1VsIuhfvLGRL4RljsqFTZibVL7sbVM32bXqSQQC2LZkJ7UVV07SxYDOwnBOp
dfW+psx5PQzC2KOqosu3lzbLdedPQE1kU6XJLvGcBv4bAEOs6tgoj1ZnMU/IH0xXzfBuKoxX6VVI
e9vwkaCw17ieXxAzgRly4wMFcCj4e9/dVEbZzZ+amBeY0qOKoIgarRS7Kh2bj78+qCBI/5G7JALQ
w5hk2yTiIlybuc0/6dF1kPkUSNTd+yHhEf5FUglR9fc/P+Tf4rhP8VddNuV3+8NQ/xdj/cNC//2v
Hsuc//7zP/L/KMeN9Bllyv/McZ/iqaw/8j9nFM/M9v/+Zf8VUmzjcMbti/bL5Q/n7wnFs7qaVw9v
oomQ5O+8tv2HbSH74T+IZAxXcLH8LaHYNP7wUXQiFkaqw691nH+H1/6XG0yQpooyFPcGlLbgg//j
o6GMZiJdKu93RW+Xc31FtR2EzLd1YpwtJDf7OOh5XwwW47D7bQZOcAoFSNWfvrL/hsDwf8x8f6bX
588Bh4+9FkO0DXT2j5/D8kOtNMqg3/FGZLvWNTa2lRKPvHQ65FdHGFBJbSRRXV08p+UBEC/MuRyI
GWQha+uxk0TqmbuJeyE+W3pxtBLskbHXCtYnPFmOSzdnxcaBjtQW7f3YjThVGrkQBAXB9TwNDQQI
sboqKNZJ3lwVhbNDSqSFBRqFSDhoAEfz8KIl9AgmIn3sYqteN1b4YbspXc6g36u5easiD64G/OcH
rToPMTzH1GvTVI/WiKA1GMmxtK6Dz5Vt22m04IttYEJeIweyMCwnfQOBuCiVQw55bmzo7F5StF1q
5caRFomOL1o6ga8mN1KCD6RG7kzLPRTwxdgToATlTSnxRk6tuxhVekaD3S3ssBdLZZfezhLxC16z
c+1NB0eJ32UUUxf0rjX6E8g1nJZ7qkX94ATG1mzLNajHajBNuaDeJAQzJzOxS9dzEGGZ9b9iaTnI
ICwDP4PzbfpTsG+ECTYzWTknItIH5U5HZoST5mG5InGFOkTDZL53bnkW7mv9oSncJZ4DB5v0cJMq
vKJNAzcErXq0KC3OinFNgE/rDAeZWE85IRgLXbPBxG6yUN997u1Vo79NJGKM2LcW0VC9hkO8GUV8
NKUlUNQDIQTlunX9Jx6vRSrIKWVHQBefM2P361Hvz6EWvAbVdOwd6wGlNqpst3syLJRRxq8yz8+N
3h+7XgGrd+GqVPC0sAGojk2KgQPmDtWyO7ZL00bIrLMmuDyaMnKeoMj0BQHOv0rwb+K081XZJFRQ
EqiSJ+2X3lZA0npA9u94APxcA2uz4UUvSW482vmLW9fTJcHh9NJP+bFJ7ftA9f3WG2fcyKHoyjad
FXa9IwGZK0cWuzZKX50u+J1q5WmcLpV4auwcr6XUqISo9HtuUobOYdpXYfJiG8UAOV6u+iS6ToF7
1yu5IuNk0wvrYo/3tTfX6/jLpo64Z+2xvGPv23WdEa7oqL62KsjWYdJy16J1boFJ8JCKdOdFV0rs
76i1B7TdUwhWLImfXnAcXGnuAhYJ1EtFfPKUOp/BRIHsUMASakZ9kr5R8+akGYI9az0qpGEeSa6Z
t5HpFcp/OVTGfZ7nK6O0N5k+PQMQ7nozo8EzouR9cl60mClHy7Y8Gu5KJ9Zmb5WdDYund/RSOuey
Mw6R6TL4Tk9xTw217Nw3kF93mQKeYvojsJUhI1cX12y2hBUti8lzj30xrNGUfzm9fTUCsDQ7NC++
3g0LCb0X++Eef+M7def7uBO/ypTWEQSvuIgIwaMxapNmxU4U+nAH94zQ1MXUR8zaw6zzWk6BfgnJ
u1kXxrV2pqXe6HzzkHKhTq9oFZ/yuBhWUNDIa+t+Y48QmJojroLpkyIP1AlF9YjMaNujq1nGIjJA
tKvPUvgre3Sec7Bbh7+xMhOqqZBYr0ZVoiysn9ypvgRF+9aNeQVX3kVoAb3naRhv7gAdpXwy/tpj
GQaLPq8fwdMukyXf2ky8m60JKhXc6WP3Jsf0JR3dfNtW/D7Iphi1cl330JxubD6Mtvbge3w9OYJK
AKcDwHtMweKIlILUNwS0dbJzvWE/QJWbprWd6urbSvNt0SUfXohvET4DpDUyqc3lzS9kpZaG9H6j
zn9WAqEg8MwaVnUjrTmzySZVFiFLumiMYudN/ofZETglG5/nr9W3mYNswUy0J5ONfw6UXfOGndvR
eJF+gYUXG4xNr9JSz5uPJHV5MVCgRO3whv75SlbgI62Qd3rf0oen94uG9WHbEKtoluF+Cu3fSC6h
q2siKEHS7ia+Vi0ITsyFG0RG1AaXYPnjrCDWNNtbRjX29VoFawsggldv36K/WEPKXOsKwdUYhXSh
JNrJ1gUdT2H8Cz3GtpmyB9JkCSnVwvsm67bS5XmoPb7JdF077qnzrX052YehQTlUH5yI0mLCz3Yl
0gQ2ioMj3jorfQryZh239Rb4aIGKdilLDiFadTdtFGyr2llV5XvUFOfcd1/62tgr6tvbzD4OTbsb
+gqotFgZaOhhHp29HivkXwkNeO5NBsOKtMbdGJ9l2b6MoPXDkO1IvCTf13hFrngxhx61P42arr+N
24A22ibYTVo0i87rRydoP+qUHSKy6YFx6hfPr1ciA10lALnwKb/KujvDvVNg1yiEYqLq6nsauE6j
4uSqlLPwE155TbhXoaLf1XgMqZAtXf0Sqe+8n85Y3NCboHXXrW9UplByXUKbrHFkfiP+LP6OzeJX
FNoXy2nPllPv4jR8REK31juKfkTtv3oJQY7dd4vaVI4cneyYjajPQipewvKVV+RZjuLgZu90lb0l
ffEe4hFs0uSu07uLi9rVIjBlawbRCf/LC3GzqFhKICV17oi/Hav8IkX+nodatho1+9N35bnvzF2p
xhNbZk57kLVMfGOXWw2+ge6jm7pXYkDXGaoNLHog6cVnbo3HSCMAMFgUiuoyUVKDTPxuQ3JQnhnN
MoH8iW9mfrA4FCK8kRzLHYamNsftNReY5tvBOk2Jtx/M7KL78e+eqkOLDH44Au7PEhRdIXLJJGnI
+ol0TJhHX96FdnpfFw7RmM5Dl4MBoVCL8/YtOhXZndk8JcQDWFLbVE2CTqHZIRqmgKjHxxy7oE6T
uS6opBySK+6qonO3mRp2kJK/COc4RjEkpOQLrM07OzdZQlW29yGYwiY72gobpes816r+9GUXrFvb
zgm9jYg105BSpe20VDNJQMHA/QBOv3Sihmg3XWewKaEpyt5aEul7SGnjgQQjBsQW1ypy3iBUvsyg
e6HpYEsgEk3Ydv1cp9WuHJLnxK3XpHQuHbPfhophZnrsIc07Dl6CsZeWyB9kRTxN0GxHQ6zdXlua
4akfBBHhkboD+aSGoVz6w3cW5UtiE1pJCiLu2KCNLwmMbDyunMxdqgc1RZuyIe+ruEjo8JWGjx7a
MOL+iNGedw8dV9FqZFNNhu3kP4Wu+RIO+kPc6ZwH3jZmG43nBiA0cbF9nbA0VnV3p/T8vjeuVG6u
UZz1U/yu6dFCSSNdlB3igORzGNqdM5h3cVWHRHiqg/IbAuKk8+0XzxHv5lhSk4n8KyG2MPBZJFAd
xO1dbFAom3mPDtkdnt1+xKQS6rrfrUSgAzcwP1Cy/pK2EIqjfJZTSBo0/YjmkUAaQkg5smxGUhU4
dKo6NyN/7MU6LEdg8K5JJRnPrkNgdp4/hQjhlpQVxQcf53PnciPjTZsOLtlKp8pzSAsVkY/HcSr3
MOA1M2Ttt68QjuWzbKceL73oSE5rx++iBbmgm9U71anV/+qHMl2TGaJvhUjYHSYnQMjRAbB4Qq0R
5OpfTpFF956VO0ddhiJEJOfkO9+s0ucSR+maXif/AXiZb1Jro/ecaXiX4QEG+ETbvm7JWjyQwGNS
Kamn9AhapK6qLN4bMziFOlH/zY/0vjCiTJ8QbvouF2NLMGRi3EqntjaGG7YXjzrKg14k+VHX3PrG
vsd8zGCmFn1dNPcyT61Hj0+8pMSWuyWJhr1uNNWx7G0YbA3yy61D7rhJU6tgNLx9iM4EcovQDfCv
Sp4oSA3X3DUQz9Dqe42E0ZNZuMEBl1Vz8FELEQmtsXqp2ud7B2U6tdjHl4U5nkrPJLM8HPXkhi3M
fdZrHcS8LOCNgJk2oTOFF1tN5RtFEv4Z7Eg+sejw/nhNmH96idO9avTJD0g3o+Ri9614FH4SPfiW
Pt43g1+djQGwvbcTdalLPzqO9nOPmhUKr976U6seAki/J822x35RxKP5JtAWbpSsOMpAre7r3u1I
Kp7oK+PCfI9E7O7ysvOwrCn1mdDSeKVuvL0KgsIvWWckNMyS3I8sfXbmxdEiKr1ug2oWypS5fuFY
1Ain/YSiIDDpEbWTHLYqrLb5vGCjbYtJZg8R4qbZgDEESuTFgl5bKo6n90Rk5rlSnYWYxDWO6DHR
KiEsxjAXX0v1rqJumcQoqXoqgS+QztykVT72t4YnczTiVTPm27I0ilUnpy84XYDXoelItwh6qnud
J6+YLo5M35x4ZtryfUSShT11VKm2iMsddZRxsoabpanLpVpV98KVTb+aQJEHh/s6aHLfjwntCYb9
y8m4zMzkwyZJAe3QEu/wpiVphmzfgYvBFgr83vOdsxfa+rYI6hdllo9mYe9j3TtndreyjWkZJRaf
uNv2Kd6r+tkwWn9dac0r1tFoMYYxE2XuPPZ2/xRoxqUa0ZiBOC7iKKVgTttTcIcLMez3lSHtldDM
bJcXs3t6Mi+jh17EtLNlmRRrX0aA2kNDQgBDeRPHi860Nz2dtEWjmatq3XQviOgWbdkc/YgmNizv
YVZ8V0Xz9Ndgh/Vj3vo72IGRXMDoEL3lkLSF38r/J9AFnoyJSdBi62QvrPnxcVKduqgBBhgr43jQ
nUKeVRlO95xP0cMQO+LRIL71UgfSGRaNU/SvHlLUT/fnVUnnt2ac3x8xv0nR/E6l89sFiyCPxs8b
N7975RSmt8EqAFBKXs1ufke9+W0lpmY6ZPMbHPy8zCq0GnpgUu0QBrzr4/zWe/P7T+p4uM6p0aYx
tfG35MUigaK3ydsnQTquCqMm+x4gcgNPGCLJ55ShEWHYhwEnj95CVEp7sB5dMXIuGQ3zeRhF7U1P
yuaml01+JGcEkfVUt5dwYhvz55PODDCEkfyk83VxDor5RNTC0vhtzqdkPbbxPqog1CsZrSG1OEy7
+Vyl9xg5489hS6XNsBtTL3ovKuaMSh/9BztJ/XVkmekzDA4LA7gvAEo0OEc5DtG97ZfGV+Brap0T
TmRVNOAicuMSKLvU2A7zzdDMd0Qw3xblfG/QIzh+6/NdUs+3CnhO+WzMNw1BDlw6/GmW+5B2gjUU
Sv7lzbdTM99T2AyjvVLlXTnfYdF8myGef4oDhDoLb6JLHJDwiOTBr9FbGc3zUOf6qzd2Lbkn1Eq+
jMIF1Mo7c3wbqNXgrbEgq6sQACrl2Vx3Tl8Sb84AZ5JWtEA4fXabrDiT3hGT1GBG5wqAGgGU3FQs
bTtHi3wU8bUbfNi5oDgF+9vEcoPMdIOfwUWL0v78RPok86Wbo9bjnqYukoepiKJlU5bZtSwS58OT
pnnMEw6JrTN47KtwzkwKGHOLYUHWafpp6dV9b2U4+yrdFHITIbeuaraFZQddA+CVExKVoEBb6IIu
cQRFDxHb5m6gZrye+8Y7nebxeO4gn3h8R5wJXDZq7VNTniTyMZt7y7UhqVdoPXJUdrSaz4FEv1li
XjRPFyer8/11U9lPqFuZgDTTWutzQ3rfIhBB7pU9eIOj3XmxStdc9DTm6Gn86M49605L43rkOI+x
kTwiZYyOifTTXeEyZne5fggtg26dPlJwN6pn6Jkb3clcf4/x/+w8I/4e59b3TE4RUzFN8KYx3tVz
N/yQ848PPBjIt/pX0RnlocCSvSkcZeMgL82tHLN6ZfR+vmgme+tFJaGYxaAtsBaIDWAqsIpef8Bh
3TMXmgvdUXAfxvBUleqZdJTiNmgV65iXRVu763qPxOiUSCu3ilZZSpIPPWVQRZphbK3EqTYeKlGU
dX2z6U3etdID1wzQk1MtSu90qJr3oejd/WikMB5T8S6MjAlCYG3IXNzguW/hCoCG4LGKm4XMc7Ws
jVkcX2EvwIdClBzdJ8s2EUhDQj9ntKh01vmrIHCVoi0mJjrM6V7xgvK5DFr+hEe2VpKvnWXj94/8
OrEPLZFx7RJe99R4TnFEfx3szcrXZ04lPpWB+8sgqOgxNbWJp4ADRcvRE/fZd2I5jxgAiT8wYtwk
WoiMusRYWTp8d5kf/SJeSiwyukMWqWzyFVMB9pQx/hxH83XI3pD/nwir44mg7GAs3OtklCY9lsW3
00wPo1E6jMIdoeRZS+y75rkm5QZxeG5qs19ZCYcj1fIZ0ndKzUv8q2ggTf2J5NSG7dX4UqVurYVM
nlxSZuH//bWG5ZrNuEJ0ERrRXehax9EdULdavF+q5pKgRjBeAUifKfgz6c9zS0lJPAUGkalFu3AI
p9fEm5fM0Bo3kyLfeaEacsGWSdtP70Gc5nh/yM5xu0xbQuiaF7dNqg9KUq19qDn6MRr8ZJ+1dnMJ
Sre99mRuX9FYq8+A8+domNLdqXmi6ufZCn9Yd7bmeWv4mbzmGczUyP9E46dRjDpPZ5y49pM3j2z1
PLx1fOM/F++/xVD999zTn+2V/+v/jsTa/i7PH/nv5v8PGgtMzMIb+Rc01kcRV139TzTW337Z32gs
+w+4GS4bzyYN2EZH+ycmi3YclBAOCdFYumeO6z8dmuIPUkZhwzjZufm5+//OZFl/EGrMGKRbcxSp
hQjpP+2qf6OMcLr+z3V3/0Ih0drGj4Fn89m8DOIp/pFCErJBBIrDYZfUcb4b2agoJvYP4PIQ0W1I
aiRq48cU98iW3hKxDKNJPeVNi43KiF/q0JcnTXqwK0Guji5I1UPT25Qf5JKoOAOqZrCxDvIubrAj
hiAfdfBsm15+Ijtq39ToJWwEkkc6ax40ODWYcBV9CvgadpcEGVOfXRMvIfkwS3BzM8WN7LiyszdI
YX0szrysj/44eksVtMECMLY61YmtohVnoL4k05JbnMiGbVyl7k4rfFvsGMLUjTsveo2r6jdGrMJd
ha2FTUzFyXtssr4TCrhDr3tOCgcJf5SlxwGVyKqxbMohbCYW7sWV3c0Dp0AG0SACekjQMp987HNj
h0h6yGdbWswCOdWsLL2MWfei+BVOhApsTHJM5MXc0NEMEpGdxXZZz9CIzxand+Gmxle5bHhE0sXQ
5tWDPiS/BtHY6I0CIlOiEeTB0AdAwkZ/zw2F2Y2zpKfIChMPycnhrR8UufCDdus7N7vvM0fbZoMI
ilVF/fQ9ulePhSwcogwTpkEMulHP/05zILl7kbLKs2tFesHxh3c6MAkmaaWdY5jDBbWimsUx6aXB
ZLivpyw7Viprk00wmZQU2/QHBIywAWXekaf5x75kTWjNOqDLDAYu+g/2zmM5biXduu9y51AkMoEE
MLiT8o5k0YhGEwQlUvDe4+n/BZ7T0X06/tvRPe+pGKRYxUKab++99p5NoD+hBFQMtL250pveBpCC
i1j0Pl1TRAwgjloMCio1Puf42XqsFoRNV5ZT4XLqKeTAj2ZM3rV1SA2tMjwHtFh4jt0zPJ09Ury0
WLy2ja5vZqyc+Oa5jS+eRd+6CwF7mpuWbRoZJBXQxQgGIGH1d7alGvN+Sog2rb24oQ9DWE7qbAfL
BBLq1eYwPMSc8Aj0UNNdnfiEKSwvbhDMG3YBSVvFgE+0jLKzQytqgOpX1uW+1xVbYEy84tR+TWEG
s17GX4N3DxnjiH2XHhdgbyRIEQpFm216DI8ryj2DraVu4U+8po1zHeOlvyISct1E9SFsrZDZqrhJ
qfZZfEIPtEf89EvrEX/VdjKt6Tby1MHOqN8YuuoSB9TzJAXGJkivPZapBQZJtem6rQv+ZHIAwJRN
2TEQibpGkzI++ThvCnDiXi+usoXqQMXzvRCkq4phXGUsUTsvk+WGl/pbzfcZzdGNy/fAun3NDBnf
N0IciX5Gm6GuE6pTHWstm1hvisT4sKI0gXdv+CttNFdXT1zCJ844A4663naDA5PZdNWp8ClTfUgg
xYm5HytM+IvmqjUxC28in2ZmRbOeSGCSwCuMd8tCB6qcPe75kNxYMaywWS2OJZEvkNeNQz6kYhKM
UOmbeXEjolj/8KbgkV6TaBNxDdoPPnV9FMfvEotOclM57RoLkfNrtuZmW5vT1nTH5iJljPOfK1xI
Ndmxt51Hlr4b6r2ClaomiWse5CrGwClOUyQoqfeVV++z0u32lhYftMw3IGGmzyDx71Q4EOCb4U1Z
DYrJ3JufQ+smP7s5+P0Pu9P/xzEgv4os/vESzeRgQVtxEFLA07BQ/HW5z8uReGdkegcjgKoaZlBi
vDklfhGMpX0XcnSjvXDusBPbWIZvRDFGr2BriDWio+p+hX89ZJ0ET6dXuvAhEsqyW9xqST3xuYxc
CrzMhG6kxV75XNS5+YvENM+zWQ+gcZwydapVms0IJoxdgXWPaHSnxAy7cB+ihuEnMm0WC+zYZ2Ym
PeSrr9WEKTcrS/W1yiDppOcxG0Mmn+3kSAbiA1mSus7xHQmiU6Rh44c2NjhkY4J3jnXFkLQedMBM
mnO4bIMdQ+rukmJWHwjp7booWnIc/YVE9HC2MUIg/oVn5cfxNpYcu0mrhZRGBt5a5iRncGI+zJlJ
nojl7KJz395XFXWxHpO2NSElUgOjvyd6Ik/4bNtPkzsemYqg2FYKRMk2aSqQjE0C7wSfcOF1zKsi
pDF/5mnRIq75dAOdKdaAbuPkMZoaczhPONbWaTzYq5BavO3ogd4QlZFtPC9gqFx581X7mp4Lkd1G
RR2fp8C0ruR2CAa4fpC/sSiQWamceWdTFgiRDBwlf9AqviMJ5n4E2GfBT8b3dVrIkxYRtASGc+aN
sMwEXStyCAvVrYjXKZ1C0SVj7HAORwNx2M2MvdOHFhf03tibHNiv5AYpp3eC4JdfRTytpG+6H5PN
6oUoIu98e7lkwV2ByGD+tFLfPIixybaA8StMKll9TZfsUUR+O82gx5oVnWBDU+MkNPqzG0AM1mMN
+ZIcyLqRm6g2XbTl6VK29msYzOOWd+6FcClM6yTC8kiab0s4skfVN58yry1oHRkPNVl09jlo2aP6
CIQ5YBgxflFPk4doGea+DNuTAsCI8e+SSvPcZP6LH6gNgaojdrifkUmoufBuRd+T4uw6ezfO3UcW
juYtzJ3Pwgo8ypdKa2M6ot65o+EeAHS/k9VrTqFLa2Kjk/BjwiN46rXb3GeMmI7wD2bcHNghsyxx
933f/OKwaK9zW3301lIPm9V6DQONHlMzis4WWbuZKNU+m4R5m1feDQPYaa3wAm/z3Jg2yjGLHb0D
/rrqmpySxhqHUNlhCUaP9PhjJ7Q5bVu33HBK2BVl097MpVkDIZumvWOV6F+jfGTcPd6kphkBkpE0
bJsTDaSNqW/RcMx7ylIb6EDBFj9qdMT5n66DAeGVQiQcfNqz5cAVMbU+qb5kptKZ5W9uT+DFE13s
rG4uNllD5Exlcpm42MEmVkm8r4ZxyUQsU5rxa2Cjx0m+OF9jnH6Z6ER21CJIWIIpcRTHvwkqMADK
fGbDcRfAR7Xl2JR7o0aK3OIpyc7+skfXy26dfG3c5dcmrr82dEUqHnPP10bff23689cBYInmYnH5
OhhYX4cEvZwXwuXk8N/b1hde52kqP//3f94/MF9sogbX+q/2L9cmtiWmyuJfXrdwv7+3bdQE73X4
f3zzH5cuFycgiRBaWVy2OQih3J/+sA+64huWwuXexarFfWf5yt8uXdY3U0gGyx6z5SXJ8Xcsjulw
iXOX8gqLYCTbpvpPLl2c2dll/74LO5YmdkQrkCdpmIaQ88/0Uu4jNBrGPf2zVhHKHX7CGuJILNV6
8iCurFRJOmkLyy/Hyxz4NK46ziI1WyPn8MVDDsXV0/KSD1+SIzCFVeeD9cAnmD4m0WA82aYfHoOx
WHqm8vBcZ47gTmFjOyE56W0dVWL5yJvwo1fuHFIflrohBE7I8/5IQh3OJtZkH17vOTBzi92VowYN
M/50r8ciA4gyPwadws0Mvj7LOprYek47XVTX59D18vXostTv2OK7ZO2PAXgNJ50IWeZyoJixmFiG
unQWj74dpa9qHIPHQuLe14LbV+VOwQ1BbGKpk9HPP1lgbUQcy8Ez1dXvAzwLqgySox1Lsno19RFo
FSbQFmA4+XVsmvSunJN4mxu8O7kczwG2MVp+QworVC2x7KcBt074XvCCzJ9LIBu2Q9EhL1GJmVzw
oSU/B00gHkRQ6n0EhRF8p6VWLYNFHN+EnQ3JiUn2+aa1BYE+lVgroThD0JQhTzF/ACw7RMBbkg5n
+EDPU5QDQXXkCEtibvKRfTwXxXoeq5zUz5yojaIL/KbTQ/we5Vb2KaQvvD22oNIgNNqDMBPehEXG
M5sV4GqD7EI2w6/kxBGMa51juQ4MBUNHIh0zVRs8JOe8fAsbv6G/GsQlc7YxKiquFXSygWoIX7M0
w28Fjjs8qIb/x5xU3oNAG1z6dIO2Ivdv18hoBVVOGKCgeB64EXYfZZ0P4U7JYkQVN7y90zmTjUSv
JwbjHQwIR7nQQYhJNN9bS8krHn3r4uuueQrzsHiHDhfGTP3Yqc4tQzgAOdTn/KqQad8aLyzMDXIi
liQvrssfZsdZcDWbS5NYHOf1IzVX3tWCPOlv5nLwLnFSNNcsrMgCuXmIVdKjuPGeSeb43FjslCs/
E8YnwEjb3rimWb9aTpL91ADP9oCj+HohveGpyXPFELzN6LqtW+Z1hwH/JsVBRpifGeGtNE0mw95o
mQgH4TA8e3ooH+y2mI/KzJfnNqkOJGsNghWlZp4uTE9sULfHau0LmfwMeLiWb/UJmVp1mlYHEdFm
u7XY97k/RPqaAmnF6Wilo3gJuFq+Eg5R01ZUxbzAn/gDugQrir2aXHvlqopmn0YwW1g5FfeluQkh
Xvj600/l/DYE49bEI6GyQf0qeo8yR5HE9U/bGQHKYD8c30bGK7j5whFAdjM84eovLyGl5oeEcdUp
p7ORMvOg5ctOlG4rkBQvc+NYIRlLspGS+gxGNS0mHDEzjcafChsD1MAODgmphNH1D3ACUaCmmX2X
WgLGEXJFhoYZZQVhdZaO/+xJjrR5qxzMmGBP1obZNdAT2rqs1kOQVRs6VCnmsOZImGuwo1mxlX5i
ZWsZVtFn3JXh99kJw7NIzCTYVq3C2mhwl301eFAo4pAKrGlSVd1bpuKw5hFpufUn0cyjPWd2dYVO
lk07vHMcA7O5JLPMgH/VOjYLS9fp7raqkonsQl4UxzZrmtdGkJAk8PqR0NvIAapmne7TlIOwl4Tk
zTuDQ8zsEUZpZQxxU85coGkHf7H8oL4oPwzfzN6J01VuZ/O2kwYxcm+kcH0NgV5ww6lm5xe0hfQQ
ZNhdq8iCDJX3xYmtxGY0R6r3wzKCpSexRq3mzRuGm6jjqEMBdzDZm8aEWUIBfeeGa051MFp4ndo5
MJMK6QWNA1NtEuE1n5PVFNTxjs6KEC27jNVnhzqrq5Ovo5ykMgQeRiNAH+G9pkm7lyDXQnxFWBmt
SLe4KuYcxQtjdhCRINI2A79OYW1h/MKUjI9m9Xuk4OYkWqb6ZkMyF2FuZHHy0vwxN3jcoDxGGKKG
qnqLHCgspNBc974ta/k8OQUZaUR3eRHI7d/JTFevMJTdkxungWKY0IK/cctA3VG3nd9paK7fq8mh
ztdDeqnWDtYjtZtKk5F8E/U3k9PiFQWCFDyDbRM4mdEIfouKEqQzv2GoNrrHR4BWMrlvLeQaartS
2dzw3NrZwbekvVR02fqJtam+9JkX3w5+IXfKNWH4+xJ7wWjU6D2pERkhTfepuTOqIrrEk++8oP4P
q7QYs7sk9sQ6lRX+yqGIrnTw5OtwNs0rV8mCu2NYPXfMYL6Xnio3Jn7RUjjqqUUavia0IGy6JFaH
ys7EE+F445POdKyEMpB0xqpCHWMRI4WGcCCfMhE4V6eInopCGFe/mKjCQ2WhoTqMk6sR47MILCCh
62HKbSwYHuaBbSRy+k4AuC9VrE6MHcxP3XH5JKSqfMc169MP3QUYB52kWzdzMeCE9ZwjsSsgBekw
/0qpYt4Yc0W7Yt4V4V2h0+aSlVgKMUhEP/BQvmXMnfZj5417P8I86ugseve7yWLcNCQPLvbKvVHh
zMO9ku8qLKRcNFxp/FEUM3UhBmkJPKi+cews+5GGPaMi15SjuxVpYqY7Qp0LWKhkcWmYyx+7MGqf
qnkoDrlRh8xoRb1tm8nhmQviaJUwkMJFbCkKEs1ujdDXP9lsLfcYo5nvNQOJBhx7rt4WXEHfZzAR
N27DcGDLihAe+8IPbwPRy0dhdeXVxJFIzi+wnYsIepA3dkjnU2otAnij5D52R/eWLG3Q0se5uLo8
EaY3OgaJCiHGx12cJA+tY3q/6ypVDrsyR4l1EZbY580qaXHST7VRMpbv8vQajdQerGxCtuzfGYUR
ddNGmMtJ+b/IGZIoIl55TUqSjVRbOBWMwcZU77rn0IwrMgiftdWENWMQtzAYZtekRoKYcSbzSCYY
oYNVE4LINBw9GkqKQzvF+qU3eCJxYPQPdJFV+zbJzLtBhhL4EtW8yGYGywNQ4WCvs7R9I/Vf3NdT
YHgbGXT0NVSUmOsw4VmdGTBcnEmh4OpqALanjO6eAywz8crrw9fQbLGtpEPf0iqRhOpJxGP1gjRe
Xr2G2Nuo6/nW7TSOSbYta2TqD4ltVdcRuK4pcz4KyyJ5QvfBdGv0fn7yylzs69kb+3U9tMbWaRz9
a57d1ty4gArfW4RyBllZbmytqex/xpI04s5TYAUGMn+HuJuH+z7BefzHq6wsFPzSqnpi9s6TivEx
DvNARltQKbWqory8ugPN4WGVfbeT9AHHIsnINGguXhZaPLP0FsJpZmqSZzb5SaK87SZHjXVWvq+9
F67h7CB0RATJWlsQXFdLOOo51n518cBCP9Bvrx8Q/MsbLi/ppQmm9NVwfVo7NHTLXxjHw/2cGECQ
RxobbkdX9xix03b84UaTmE7FqPrpkHhmn5zCXJop2mgwHbA82r/8NECAzgXuoRzJEUx8CblqJWvX
Y8wQzAeTneuTwmv9GQR+3W37OJnjVTcLt95oegnpBepVJPey8KLvwHLkDsxj/DobxvwgvAzbAhl4
j70t7J9N0p0PziTTW/AT83WOVPupvjbf2o8XbPzMkHQI/IcpnJqfY+E2Nw4Ak6caApJZBYFmmkn1
YwhtBr6S5YZYEnwQ32TOsWz3s1R3kK+GjRgC3B5hNCEkNOliSBO5lSTENOIlZIhQvW6qAjmFqYP9
KgKzAu1VtYyeRFSTXxCi/GUZFa7uokYeh8N8H2VD9YIbCMW7sr1Dio71TIJiwj07jcGRtvCm3ZkD
AeZ1Bp4AL6A1G0camsRBOhG5VlBL5sqeFifdYr1Ci267SxSqrNwn2m2ZkpgErbgSQGGoB3koR1El
dKPhYDbtkHPo1Pe8pi4vy40qcRqtY9+eIZY7WBqQsJpTlsU+c0vSlOlG+mZxhYU1H7pULacb/Nx7
WzTxwbVzZuooI/IB94B1GEyd/3SLOfux3LJb/geVpZvOUsaj6Oruii26fqG1Zjompso4qrLhr23l
z+vSbGy+0guOGIYsqC6fykvhBWm4gi9T+OsiLeL3rEjr8IC4ENyR+uAlJEkJWi6BKnLfednvmpSp
4nHBWF2n8dVYKLIUR3fFup5t+xwwZ4NCMxkCKwMEoFHGlEu7s7TWIGV0grOk50CCS5nUV2S7cqNn
RHOQVbo8NC0Z8t7OI4OraYg7L5VRZh/qtuFPwzFeZB6gOHuoTy070nuU6FGv88hv/NWIAtyschiK
Fu7v1meoaMOxnoc2piCr0UwZaywo3NkSvaWSIDw3Eth/jcHxI3NNjXNgpFKeY2RWbp0urN11qpPo
6CWcy8YgKW6CGjs1NhHfw/HliO+ZvdwpWtdOaehhF1+D9K/vrM5Ulwza44F0RX7oIUod824KK6Ca
2YjMqqXYgxYojgYU2h9t7UbVetZzeoMOWsmjIi0VvDjdiCmqdwZCuv8dZv1bwyxqxLEOQJ//F9aB
zwDE8/tEKPnz62ceP/73f5hI/fmNf5oH5DeHOYnSMJwlMfLFE/nnHMv75jK9QsnxqFX64yt/m2Pp
b8wKGCt5ADEAVHj4Cv4Wg7W/Ua5lM3jCdIDq7zn/yRyLTeevcyxX0P5LRFrgXrD4YdY/qUmdH/KR
zBx9qL3aCg6y4iHhajqP9cr0ovBjTNL01GrgHEdb6e7RMic32OrBjOcdoEn1vYpjiLet1miROgGm
lUUGMpE9cM/eZ0aovi+y740/DIIriQHFQNm5VmuHwitCZZYVeweccy6NZpNblRdhFNBX2L7Xth0w
8XV9AuWN7aBf0ROzKHmm8cT5vzq7ndO9UkDF+hi7LKOcHNdV7j4IRBHsZuJ2mlCxoJwyBkmavv5V
QQYEyKEaIAu82OAi4sZroVGZ88UO0aw3g4X5Fr44vRhzmh2criaWIiN58G133AT2rAj5TLghLMyR
zOVHoMTppO+HUHlPbuG5e8Z5A+771FvHU9avFH7traIIjb2ImZoMNX4IS5bPPQflDo/2WDqrqike
TM8oXcJ+0ZRtC84HAn3Sj0gY5EN/zxoIcyzIESMuVdSSdPDdnrzUOKRIqV5OhJRbo78QDw3FwBFX
MsJ9YE6sB2kPEfN+NqG33tUBQ5V70xLYo2k98utDEhu1fwxL15yPnWDYdfL7wQP0E/tmv+X+bM87
1Nv0tefCY9+7Wc3l0ZxdFzdHCGx+TdgsmVZqbvpu5+um3zutCD9EUQaczcvM2+d1Zz7b/kCiKRBB
sBSV/faItXTGUF1l7spLUU+MMpUwDsbo9q8AlkbsfP6VngwUympoEa3GzLtR9bDJpiq6N6NE7LRI
s1VB4RhZNyZ4+8bKmw+V9c6hwOgV7SNCHeYmLUS1AUrqPtlODJyTSylCdRa17mNqGtNloNeGK2VE
jrNp08c2mehcVJg/wByhWQeqOAkHowg9i8FWRO6pq6eFo2POTz6MuF1fFfZpmfKswtjYA8EjEOh2
awZazeNkxYBfTN3cGbgWOHwyD4HDQFALauxE0KTgbI4nkH/fF8aQMvuVaGKxQrZhsHepK1S7BVIV
PfFp7c6Y4eDaCVlMw2oC3X+cgmQome11G1DdOO3KoDsG/ZDceYh4by1/WwwJhU/uCdQcqZRpGLkH
zsYAz6RewFYZgcIoyu6rqdgT62FG5JEwBQUSfdjSGLa165SPWRc0eyfsYt73eNrrOKjeHK/leobK
fFO20ycjYk7o5SQz3IV+e0iMON5pKhSSVwAn+nEo8EeuzTBxfpRTi7dPZNo6Lkiz3TiO3SaSpdpq
Q3Zbu6+6najqiiiPM5AUtAGhmATi05Ht3SJmeEg94yRAdbDCZOMNKPzu1RcNObkmSK+Bp6pTU8Y5
xo7QIyNU4eUder/9g1j1X0fdv6nx/Mt98RQSVgzfl5Kpf9gX/1SH+M4/BR7nm4dXjckCogy731Kw
9+fGqL7R2sXKjz3uD27E37ZF+5t08TzASePO75Am+Pu2CB3CkRDUiGfgXtb0iP6Th+5feeqcrx64
v8g7nnKVdKmX5HcktfBPJS0iE7htjGnew7mZa+RLUeRsiMRWyEvYHQks29cvXNVEumlq6nmhTCdu
D6GoDswNkw1rufJV/eMgWE5Xjt3auzY1sht37JaLRNg+FAxtOIEW7EgMErnmTzBcQvCGZ36hjJwn
g5nBQ08gh+AO40UXoj5j8M+jO5tpobfyNHCsTQpSF3XIcRpJN0mRPlh5a0/MRidINWCjFD6DSuTe
nkIGDIHARJkKM/7hZgcb2T0IL7fJpvZ+/NB3NrgJOjQTwI/5K0UxI/2hoGs+eHG0jLgIv9wtVffk
NBr7E9Uxqb/Y5Pz9YJcOGd9BM1MeIG/vbEv3yFWqcopdNA+U9zSjH91GLY43XHT40DaBU87iJBN/
yVJQSEVdopv4zoEEkBLUJ8d5vvVrK4KBrgc9rqEVGz/QeDyPdX+KLoXP/aPKuujSSJRE2O2FE51H
qlPnDS07Lf1gysGlsjTCMCLtfRdKQtG9pTIZgCl0bfEpYTf+RpYyjLXRluWFbP50Mw7Q8leQVKFk
dBCQwMGWY3IwDTlAijf6e1bo7JfKKMFcJ3EYpNsJLPxrA/ARSy92kmJvYRe7GtL2yaBbpGlW7I9z
sKYVM30qKA6gTxGXGO1wsy4L7rCu+VtDckBwJwfzNjvUnO06o/KAeDgzzkeaMNUarRqgAgBlUhad
jynPxPy4M0sUH1k3yyTcKK9hX9cH1RbkBWJX3FZsbcYqnuNs2KS27W4TOyvfRdOOGB5i1a25Q8s1
PMXkZLC1b8kmlEyzKWNuIheP2Tzl0761qmJX2Oa0I589ot37040Ics5tdtI8j2URwWaMS7qzZrBP
LgCX18xv50ezGMdrHqAlWC3TmsT0hrvYdIH1JzaGtbJKbjoTM0THz9o79OUs/HZMNQ3gEkwvYtEp
aPGea4lTMJpvjI4Se6Qs/0RaqjjILKQqRIHbskWYPdcmg/bCVd8hXSDeaEI2Swa+6s+95DGArEkC
DQtT8uABezgSpCrXA8VqeMai5sxhSGxIn07fyyAHiN5140m1dH6HztyvK6E5SmnyQmRULN7/RPpQ
O2xzvleS0uUpJ4bHZ13tIR455SYs7Py3O1jtfeeXkuC0bT7C7ZqfF9/HgWjARGNsXDkcEMcyf04Z
27zgYymfk6LtfnOdjJ8d0z4SHukOVsLPjoUfDeuGdNOVbbZ6q2TW3OeZZb4Png86upKO9ygJva7z
EIPhOs46CJMeawpZ0liBd1LTTJ5Ay/dhjqltIWpmfYdxQgqxJ53BCCb7ScmRc+fWBDVoLmi2YWb7
WPk41D0o10EMKiO4w1z4P5zG96ZVUQlJbsywp7vYyRngkloqf8uoMp+XD8KTmp35dwhYody4g0i/
Qzdz7qdsXCba8FhHUtfUCNrmwOvkdrtJpWu+KXB4xr4DNG1vvDT1b5VyutPEGvHgwx/+zMJkLFYa
DtdLAkcM6htL80FpeNAQuHz1m5QIA6yGgwAn+UTqJ87dSIq0RVD5ktrBQ50F+bvGNvQpe8YtZDrK
9Coi2vDWpUezDDak8WKDl2a4PkfzbixbsBKCNlcr8kdkM0H7jOYzUNcT13RLMlUhHF6fZmFX5aZO
aw0axuzmQ4rMV23zKeyuII2osS4SHpJS2/Ag3FY2D4FMq31UjGGx6qOueSS5s+DQgcqL2NNnpVP/
IUgt682v8+REYZX/wxhIjJXZiBu049BDpCu+92qdZOSyk2iFzAys3FecBJOxho7LIVceTXThi07c
9iatcDCvTNihd4k9erdcM4VkfTA63oiUTq5BN8FwkFiGH5lVpU9hHwC/iDkM9n3gnE03FPeKxu5T
ZHkaQ1WfnaKkyxh7EiLcJsno3WX5NB36YrQJldc0RQ4dWb9VKobIYGbfatx9URXZa/T56oZHQX7X
YVPcB1UcnGXb07KHVvo+Qm98Z3oP7oHxOqkgpeoPs6VbgyGcfOrpRdzOVk4tRhW6l6Cuy18Q/YZ3
uL8zSB9lt+46MZIKNasf6oOeyFavIgBBFR0Ev8nw1MlqOW0cGHUzxKwULitpN/aRtF5xiYdE7cCs
8o5OirCrM9jFrsVMdQzDPrk3HAp51rVws3JHQIr91gW/eOshKyeryrQXhMbQD++GSrEdh5n0iW9N
mGx7O+vuzKQLOf5T7ILXOXPyGz+itC/voum+zqaYnb1u6vu8cDJANIXXIAvEOG+Thq2OyWrF5tXr
5LZpxmDnhFlxCu0mBeenYvnhoCDQcwQUXax9paKzZ0+Dt5OyF9+1k0bP7NnYMOuoxNjleEX/I7cN
+5zSOr33mDiA3MSZZuIIXmJtcQDsR3bGOY38WRyjvsmfCF0qbL5kwM5zZQjrHOaTeilKARkB9eEY
0eFXruwmL049zvhzWzjyYRSuPFkeLXJ+Iwj6uQF1bcU8XOe84Q3xWHSXSp/2xQYB+Tt0+/lFDLXe
p3gYjs3sMjSbQQV61DhdnJr04mrSjV4c6SGMukFxHLIDi9gThgOodiT8blO/Sl4Kz9Q3HNgqa+9X
1FJx1/bSizd17ps34/YYI/0K+6/cTzoZARRbfJwDGvW8urSeDAxsxxABBOe4KhsLx3XjfI91C7Ok
TL1oH6IHvOWBGOi1ZdlfxbIuCdGaBCzbGQoSYdyR5EQannRUwF6m7BmwX6X3vk/PHNboCuIol0SA
fv2PSWIPXUWJpdeIRsmbOy1uWOa17qH2CQ4rZDO5qUzRf/p2Q7wRNFPNwWgryogclWqWpIt7wDyf
rLo2sc9m6z5Zk1/vB6/Hc9GXLzUXz31v1dyond5lxYp7W+xHo8FlXaRB+hjxMXmpRjGuwJ/NB1ww
fbY1lRk9yNnrxxPaOLCOoivbYIvEYb16TTv9hKEDSXFiVW9xeHus6nHmNx2GhtIPiZtw0BFB6iCT
oxoSmezshmW7TN+iSg+8iR56xiTZPvf+ImnOIZUp8ZfOSYERxk96oK8aFTRd5NBgEUajL40Uy7w6
dhYdfeaXhloucmq5CKvcfdUhXsTWuAjqXQAFf50CTHwarKO/3E5nyydA3tg3TSbEJRODtYWpyETF
E5hf8jA7ZhQqrAkJBNfGbcuNoc1bJwNoyYzLh7wmhnt/0YaTRSVOvgTj1mSPXQ1fQrJTDc6mX9Tl
btGZ6a+qL0GVAXs3mkWNznDn3NQzh0WYLLZ+tr+U6/lLxZZTbpDG5YCIjlxrd6MWybtirWMHm+yH
0hlkvFlcyYAQqjztV77helQaLQI6vlHvdsC3cQ2+9HUcBWTYe6oJTu4iwDfaJA3POOkCXwN93sp7
/dzowr5nsYNplUGhfeMBFjs1DUCIsy+Vf9H7nUX5LxMbPwa/p9wAIHdPEqX8t6d7kjUhXcrMWjhv
HvMhw1GQfrkLLKdtCCIupgP15T/I0lLlrJqTaWy6BirGKmC2xFRbIKet2yCgrKFrgEMBD7QlMoFl
vAMPah7zwJ/VuuXMvimZu9/NTtq9FY4GGl4Bm7/pXIeYtUtzTwNGA1HE6ikha3T61iQjN7QQTSKj
FygUEN2rKrU3dkjz+YrMrI9tpB8ZWwo4LOowlibMgoKP8sHvpffiEwYECeX4xE4TBC6FHYuhHYVg
lsHYM58ERofZfGkawwr2rRbu2ZsGwjuxDKLvhUGFGb7gmo5iKy6s3w3jnGJfVlk97XzRYsoWjhu0
mxQbT3jXKosrR5pCUFi5oTmz6RHjZq+aHnhmAEIQxiUWFM6cNVj9z21IQ0+X5efRVdYLy5L9oAu2
gyj2vXPeT+3jCHw24TQ1vwxz4NBQE0Zjw/Ibt+s6FFS4siTBbfivcvBvKQfaZHJgLyDH/1s6ePpM
3/PgPf+rdPD37/xzRGJ+U1Jq4qaan0feAxPqHyMSx/lGqJBpPcE/gYgg/x48NL1v7GnMSGzLXgYY
7t+HJKZN8BDn7BI8YILMlOQ/GZLwE/+qHfBb2cqky94xLdomSUD+NYkSJVycqC4Ldo1oHzRxrUPW
jtwmGS7sPCMbPmOXEYehPe+ApxCC+5iSow61OuiZEYEHnkJse23RG5Cag33f6IHZyOznRxJN2YrM
3njr+IG+UW5AYtb3OIKhi3/U0i92MyNBaoI4nf9sIiaAN/FiF17Vy46OGBM+txAsbiro5jUVrm3k
r2oue2dnnN0j7gTcCGNge+khjgW2pwBDatdZXEvsfPjFULje/j/qzmy5dSTdzq/SD3BQkZgygUuT
BCdREkXNukFI2luYgcQ8PL0/Vh8fd3W0j+NEOBz2RVdUd3VpU8SQ/7DWt2aUs142Dm8SNcnarbRF
vpYpE7KRZ+XseTEnKFsWnRFD7hD4R6Qrigq09uuSY21ZWfkEuQDqmVGuSz9CNzQ5TrUmZ1eXm9jw
3ds+9JJyNzGDekbvgv5AwM0Ew5h0B+2n4ZPoEpYbliDLZ8VRCSYcZSeiJmMihAsxYnLf5fnw0pRu
kgVZk4gbMhEwB4zznTmbwz4x2/G7EghsqEMZZrR529532WTEG/iDgFNy030JxWifOts2npjPimt4
PHROllIDIY/D+DBgOwkaO4p+eTOTpnUEP5MPjjBLZ3z2njGyW3nNvuqt6iTyBDwAl7n8kr12D20s
nIbWRlh8SM9XKGzjikj31Ly3Cuj3YNrmecMYh2rQM4BJRq5MdpbEa7OazebgxKG3oYg8VmjLcBxY
rLaxO176KTFWYxoNJsimpTwVRJqh6UPY8RnFdXoc8YTfckP1KeY0TxuIWMBzU4IoPEb+ZpjaCgWd
OXCG0Y4ro0heNFK6zTIZcEMQOFwMQxVrlKT1PTgjxvMYWJgQjfY9IkER5F4a7VnnihuuKFZ7o63J
4c7ER70syzF2oApVNEm3c8qN2lSj+uqyctoKm0jgrEKsW5QkXtUjEnDg+8AV4zOdEwM1ys5nRGDw
gXrP+UzMfr5JRAP4HOTEViLiYKDVvqJfeC+QP6xMNVE51cMLKIA+WpUIbZ0Au3LyWAAQa6b0rKmn
+pgVhd5GCoRnVnKC9JPH3qHXPYBGpl6sFCzijHUbJU88B+q2NQt5wQYry73oJnIIY1ChrRKUk11a
ZRsiQW1vx/8JmIyebPIskiafHy1EQfuMe+pO8PUhIGWvzrHlJwcwCIiTi0o6L6zqnDvywGz8/PWV
1lqQoxYqEHSESOltMyKvAOEatl/sd3CE9r3nP6mSCM6UeE8uv0Qwi81SzmfcRfBKWFhuWO0Ic2Ut
XnTWUx1BIOii5DJ53syIZ4aEYVOivOsk1XdJ4ozHWZTuHcsdMIKjPSz8JEyP+dCbF/9q3/eWmjSq
ULvDk+dP1nNfqHEPtX7+8vOkIFnEqpo9anLni/s7+YnlYNvA5mA0rsrZij9N3HI5TjdvYAgcK3Wf
OojEZ1FYLha1wiadrErr3RjVRLcyZIl3us/Keyxv9tNQELQQNq71mBWtfWqM2uJDFqU8xwl4tY0l
azMQVPDOrsdkfL+MqfkwNBFpFSP0sS7WxXfKLcxVDW3rpa3a7oQz2w5CcyFN1ZYJgKfcuyvLYolX
7KFozZUdihsZanPv12N045pDClI/y1p+KaZ+qwYcxpPhSsLVlMyNgOdX3amsKx68JhIXx5qYA2li
PWIQNqMiRLQQ9rrXc/M90uShwxDtWgmdsnZ1a2Zr3jEFFsgzn1Z1t0LJ1RAbVWWw6se6DTBexkdb
5DHj7/IOK12HMA5lNVKrKwnD78z95JnFg0yJgHV5cAP8csmu4S8rc1zKx3awEUCSkUkSkn8PXSa6
JSgLJZXtJ7foj7KtaVXLsW664SaShbVXeAC+soV55DBg907LsNsx/VI3hMZxDdHFn0KfzJW8TxEX
qra8YcSRLuvK7cdAFcWX2eYV0DOD0atTgmRFvyG9/jWVdJY8+vHBREYS11a8Ietk+OVUSJ9b0lhl
a8zrODeT9VCBq83ZXiUGiaBu7zoH3Pn3dKQKcpw0Hkw87vsZVwcUivAIa9mVq0pOImCtML8h22ZK
QRpp82CFLFbI0DB00DjWZinzp6VQ07ZwB2+LCPEtJ+b4kGv0crJJvlJjGPOj5ViKaZLfE5QZXSOa
RL9M2y50hosJY+wWzykwlEx3dw1oG+W5H/2k92TOYkNuaTjbqe3XBSHAd15lnUgbWkiWjOHnrGRD
10/6U4U2lPThG+JvWR63epnh7blhTuy44G97AvR2uPaODQD9dB0SHDpvlhiL0Mb0OpKjkmrU+6HJ
P4s5L44yl/27nevWX4fxnNymczfs8A4gCCptMv3qjk53qUcPUK5DX6CGqb8pGF8XW5yJbMtnJsJL
b9i/iQQcwAGRow7zTncxxYwR5Ws99sk1ObjlHEistproUHHbMEJM5XeJG/5eyW68T7KYiV6JzViN
HGK+389074CrK++eX4uhITEj6ZPdCijWBL9jEzbZdbyEYfzL53Z/X1y5oey5dWNoallbXxVVYX1J
JB01HJfCZglKuV/a+D7YSVkPLGeXd4P0jCBiZH5kF0FzQBEPSWbssAz6zchQLXO/WjYrHxF/8Coy
4cZ4vo3LvjAUSxndPFcKuVEkc/CHqj3KpujPOg2jl+t+YFegf/yxhcrfxsHRW8bnQAy9HL3oPu+i
Zj+WvoveCGe8xy8PBQ/hZnnmDBh30LOGO88FtG1RkL3AQMmOU2tMx9qCqWbXNYbywu04kJRLAE0J
h43hASZsZpgr1++Wb4t1/p52qN3Y7hJuEWsM0KxNIg1jd0fU7TOjGloWl1BKd6zXmnW51bobJWjf
vKlk4OcVfdCPzW+b1S/VCbdiNsnAEoAgeBFvim6E/CCNDRnZD4Zd28eqYi6Q6dndJ2CzP/Hm6nVL
0PPabYsmCbxSbDXBnZwwFobhBoU7IWPXBJF63Ba6DW9xcTG6mUMAYASh0/j/mV9s3UVDf2NZ8w9E
MEaYA8fUtGYz5v7qgfY6i4sKAMnOcOdjNdqW0XVatkTxzliq1XWnzdKiMYenLmy659mBVjcl07Ad
TZY3EV4I5beEjMYy3YQDzLl2jOwgg3ZH56v9LbPGKV7b9vTOvzScElInvgCgk9CHwnzrwFA4CZ3Z
r3zfV4yE7MtsrXVCQkMMX9iN0GOUiRPDk1TqQQ+c5WGvwd/UpKBZrsrvwBeFD8IkbrUQZXYaYjKA
VsQ5uGeeUH9aaR03J/qQ4oGEcPf3IlDLOF1Y3pNIYd65vSVRU+Tub59Mo1vZ+7Dnxjh5tPF6Y+CW
zog3u0zeDbPobnlt5od6ycZNW6vvqB/8vSrTfBM5aX/XEVHz7jgd0Cl2huxpOeipi+xU3+q5Lqj8
Ezs5VEXUthiv9czboyPme5lK6NBVv/cbJQ+Gq+YLbvF2YWHYH6tEhZuSQLWjPWGDH+22vJ/gjVRS
hWcR6uwdfHO9txU8RfI/d3ZDDT5HaU1sjDSDokGSM8cmMdsKuOFKh1GgqZsCwuPtTe/LBLdK5r5i
EkPSnnjIjHpeeNSP1VtMMuE1IyU7mhHYDLdpnZNndgiFlgilxapNoviB1QGGk14Cz9LL9B2y6FnL
hHMv9Cz+5Lkdtq3iHJ9AUNxUCrpkN0SvnhFSZYKU2/QURE0TwXDOoFR1+mAW+ec04DbkREUlYlPy
boTbt6tMGBuB9pONIDnynh6/E1JDyPjQxTFtCMsb8PgfbPRvRzX1eUAuqNhMRRbuR0hivriuPOo8
Paj81zgIvHgkOB3Sih9FCStWYsyb79mI55t8kCAVrlgJ8q4rA+PRSLJTRddXLiNfnzM694brzbsl
zprz2DOdimWlv7Cp1HfQ6YZDaqGth/6iVrQ+lBO1b+w7NXdQ+8iImaJkfgxDorNboFOfrCMXfhVN
8Eu5xN80YxYursbcoBMCn+539TMi5/GC5JPRbl3a5nupKuOjUH6/hQWj9+6EZwxgYq59fIAFTU/n
mecGzAzgdTaoXgYnbvD9bOvpGa8CdhG50MkNyVq3XC8XgMfbXE4jd9Yo0QBBhyvD/tbGfSKxxyvC
v9hTYyoZEu/Hp+AfOv80lQTnhLpbT0PJoDqx8ECM4phJcrBwIP2ux2k/RsjRrv4haQ7JOeFIxCJf
zvvWU9F2dhpolnbVHTJ+S2KnquETYkUT+CqUL7if/FM1V+G3Qc10tcSXUGIb199xeZzAR2F1ay+5
PmFhLd6J2OmpjVz3UAlK2t42kCv7ACoDEzGu2PuLi5KwNI3pVJclr3hIAv7Ogv7JgqTCywCZ3duG
Tep9444EfRC2LFPmPFQfvjQkWVzCy140JVKg/dm/68YlfyPxKNnNfwbaWfb0KRnXcnZkwOTz/jqK
g5fwEBkGUAp3mR6Mth3bFdjbYY3e0grCTC2HhUnFxS/85jOaw2SHJFu/ASwmMWAhD1DNThHIbGxu
WdOJnmWHlkGPdAHhdV09dC5LLCqWofktlmh4Mko5qhXQpBY9UiWDsSc9eJXNlveet3a9Q5rxk2Ql
SKY4DpFhzYl99qIr2z+3kxdeHMzhRNvHG224PQR6Moab0EJpP8/FW+9mVK7MOs8ljztk9ry6CxuS
n0keZ+cKJ3HeVDETV3g7VnvOVKfvKa5TvbKjat43qcWrpuYQvUSY530Aom4O06Xwdpm5NI+ppobF
xsUCkWRYZ+PTxZysyIzWdQ4BVCLHBE2j1Hpus+jFSb1kxwLe9mCODOlhLKXFqmdcjgXl2RHr2/hG
wCY8J6rQh2tw0VYvqf1SYJs9+oOZfkWq5ywKx+XOXVwNoUiL6NQ4qXlbtsSTxiaaPzfN3YPQA0bN
hZxGrDOpdD8HxwBT6me2+IRYl9UMD5bplR2aYtaS+i2DByACdRD5VQ9BtjUDu/LoduvQWEiOyrBX
lDTO8RSivlTEKy/aoTHwOsDynlXdIznyWJFlikE5TjGzH9wNwvcCxvlMiZVewT8rlSbDm6k6Mk9E
Gt+H2Ll3TWsuwPPGTL4vZmhQNLD66dCA3hiZS9WZpIoAit6pA1WH6TltSVM1Zu9Tj0xArrLBhaHV
Vsz04Pwe5tqqkfkzY5ahx9s1G42svZoE7Xuz4CrBiTU35FoWz3Yu6mPFVnAIyqWTX9gm483ETici
tVMC31dGDe3JNnUogOmXa35ryltot49JmOa3iePyYa0Jpe3k2Mn/5fnv/4OxSMpBeGRJ4Vt4FhiK
ID34z4a8p89fn9lfKAf/8gf8+6xXMOtF7M36BXUbU9r/gMwp6w/GrEJKkF/8zT+Mem31h4D/4wrb
QQj+d/zcv8vEbQsNnUJeRznhY/Rx/ksycerzv4x68cI7ylGC//x1xOvkHckeWRfv81EVW1SmoHNS
rEz+2tO8U9A3l8uNMkqPV3/THkXnqiPyZZayg+zwV+qFnWDpzW6xYSzYvLhGSM69780vWPt8BzeG
VzL1yQroUuS8+5dCp+2DyoQzrVVaeFeG1oIfaKVpaJu1HswwaG0RVvhgayv6gkRjaPx7lXPbMpQ/
4lgfP4dwLr+oYl1oT06qmd6VTbFaXIighLO28C/HWcoPNLjoiezKn+bdjB5LMLLNh/rQVgZPMQJS
h4wEGDT1kfiz5AGlthut06Wp0RL3xSPrpgnPcw/vbJob+W7NWXGeJnM2OJktTpsmhXK0ZasbA+d0
Y/Fep1SKrJIxwaz9rFOXqUxA1LqpPXynLj2SnxYk0oIdu7CTLwHmJtaj5ab9K0A394yYvrioIpN4
2B1/z9Z62Q1iQiTHQRmeBmSMEJlQnNgMaRkUjYa3HVCw96vI6uNvH4ldvDfyFhRvbsmB8MNsXG60
Ie2fkQbiEZL78ptoOWTrYaTrd3hNzj0NbWoGcZvS0hSkUT8r55qY3fdFd45BjN7NaTqNzHD04iIr
nIddlicRGIVoGJ/RXRovNTYCZIOjEs9eb8YzukUCVILEyAXUsNj6Ss2xxtDn1WvT6khzmkQEDqCU
15OHM1kFhWaTxS6+OwH1ASlc2025V2hl2oMDpRjWnVl2H4WTGaRmsDv8HRXh9OQO1cjJRsdhQqA1
vLUKe5DFuoFSi4oyzzed71i7rE5b/x4TGTHmWCMBO7CPBsw2G3nFtGghPHiF6rxygpS8aXuL/Ev9
LpEaYRzKazdcozbWSyBrC3iv4RdpRW8K9WBx8vhNXKGxeGMn7NjuBNqOpwZGGiSCYmT4qvoOm1cz
9euEVA++v6Hnc0KxKqdNgpns4ppxTYwrJ8Yb08Dwh8ZGzccmt4g7CmW3hy3cm9+axGHWJeiOhp1d
hDSP/FldtUUoERM+DvXo1PtxSQOHzOOARqX97mU8BUZDNvFGJAX/vbVa42QaCXznoe/9D6dalvTM
blFi0phC95COc/FMZLXzi0TM5B2PU+itGiylelMmEAlMUbnbVBiZA5ygHA86Vsia4lQqrMcGgt2N
Vda5txYV1kuq4qjfzj5txSpeZu+3PzTS2mStjwFf5W66IlZWPRCr2B5glrVYxIp+ejRyv/3yG7d9
TdNY3MHPB4SFMw/yUDxJZhGNPzxcd8WvY+O6q8Ydq5tlMevtkCuBj8tLYdQnQzgE1Dq0gCA04CAw
vuG7KCpW1hye+nUu2uymNDM3DmQqCSxLSdzG4hJBPzBDG6wldyVecDFWOPbY3NMBKcksrxq+IbFR
tZhpj2uxmxcEV1i+LxizY2ZvYaVD8krmaVeTmrMzdS4OSmfocS0u43vjZ8uvzmgjZhWdQGIJL/q2
J4Ls1kdoGa+sylGXsdDJ4zAYeMnol8yDGOWyd9qwuSTeONy3kQXKwRpLYxNVffl29RgEwwLsowU6
+dQRSp+smdgvWyK2cpStvk4CvL6ofRbHSz/KZKzu07xxg7ZGU5P603Tow2b5dS1pvfUcw/YA5UdF
iAZp5tr3mY6BOo6RftcVXbEyI2s8+mwIKsoK1ax4h3fPXB02FQKc2T08C3DT6Hrmo+FOVOYjRmzU
ycyCN2FiAJsRrY2tIczT6ivHc/TUObS5uDZ7IN6MSNIPs3L0m1uPjCnrurkSU3oHfbUjF4sk0CzF
ldypZmGTpIV+aVMAbBfLg3vAJbF56UTCqTe2UQrrJk5nMW5wHZgLSQ+dMa2kngdEO/loO+RpzC10
glo3t0gBQ0RopT9nG5Lq/LumVvnXFEfxT2w01Ua3gu0JOlzanxx98ErlgL9SCj5IAlGlAhImWLVE
oLQYmzK53xgVoSLOUE/xyoavd+zHAbyBO+QFiLeqq5h8W3SRZtQiwvTC6Tzq2l42Bujs3VDE4mB2
OD/gC+fOmqwpd9rWtp2e7IZZ+dqqOnsvYHXsBvIh+gnAZEyApV41CJFPc0oeal8UJXTz2oEXW8si
Baqfldjv7ZtxosFfpTn0QjLQhvpBM/N+tXNvPALfYLQfzZ17VVciIV5Vo0hgr6rqyGPjVq8FFhp4
H127V9LbdW2OsmBG1Jx7IGg6WVA/ZLUP7br082NsXxNUzLRhuJ60oSsgWbDPu077d42J7HR6sMzK
X3kC32XOacBBDQggZ+B6A1d+Ws8FcTM4f7oLjfPw43D47Oyos49sfD5VMxKxBzZjv6AQ21td2z7b
k2vvGY8qHt0clQQdOyFWiU+OBOF+/rk3TZvssrGH+qo8fSQZnlZwTnoyXtigrGy02M1mTNLptNh1
dyqjSgANDLPb3OVFfk12AwxhTvRea8czDdRp0gyzdTwY5q5NZz8ld6XODkuC6ctKnfw4caudPK9D
Tucnzk0f914NrKFv3wCY+9j4S+9bMlosV7J06nunyL0LEcvo5LuuNJFRh2zZJsP65XPDkChrlg91
ylyizpfECRAaOXvhdvpZlCIhuYDLX5EJ8YaQFvfRaGVLu0pkJFgmpuquhOHybSbsQwLmytVaNp3G
deq766WrITAAbfieIlOfZSen27JJwfaOWQrR220VDZcijdoFiwPxW9sdNZelPghGTOd1dc3zlk7C
QhjnTvQ7jOv4vggN+wQEhiF7XvAUrkbWEhygOIreB2dWgRpq79FwbGbMtQijd0VcDAPtZJg+DEmU
cNYDVqc3S6cXVuZyF3takVIn7aM/jdkPn7c5A+pkc7f0DHAXPbeUZ6wrGV83Xgd3eARznLaji6Iq
gh66ku48P3hR421BIo0viyPlVtVl8elbklIDJ8TI8r0Nx27FWLZsaNfsaMelGk9mFHW8HZKweUga
GxpuhSMyXXVLzpsK1lKXBxptd3JUqdFXu75Dz38AQCcIwfZhdm1zMzbvWq2dV0uNgMmtVmTzNhmK
66K78SKb4Vbj3SSscgsSVqa22+DWa+K1twikUT2dI/uQeWzexy5p0k3DbqVaJ0se3rJQgJjK4CI+
cIf47K7Q+LItVxxqo+uZjLkU33/roadbgXTo0S0W+YvjxPWF8V2brRr6oUs6O+zPzQG9ryXUTdK6
3r059eJ3wtwgX3EXlFbAuXvdKlrkx6wymulH/N4JYJKZkmA1Nm1cBlGyMDg1DVqYM/7TAXvc4Dp7
lVsVq/nMYbGQQ4XHiMhRMdxaCVJCZnBFFK0nv1I7ibjxkueWrjeLP3rLqvJz5yctkFVsSgyPz75r
zMBODPHL8/K+Rx3NYAcoMrZ8ilXGxCzAa5JS8zSFc9V28ZolcPRjRVVy6RYQ+LOvTQQeSQuGwvES
sv2q5qH3yhbVVcMrqgS1v52p2tKNM5lWQHaKx3uqzzzYtm346Y+1dRElJUZA1esb66bw3TyYtJyu
0SG58QO/eqFGI4DZZ7wDcwgz4dYIyylolM1j4nAub7izezOoU1F92gS8W2fa+zwg1xHbo7amcyVy
aBelrkbCDnQTxivuKmsNSi4+o/R1DnbmkYqCCKS5SmZJPskHqyYJzh6xKyl+ZPScJsTOgXe19Yse
ldduaj/Mf6qcMEPQbOwoclzwG/S0PetLY9lgN+ciNxPDVbvpAnIaNd4WQQVIcA02iog8qaBfiNEM
dZK5K1dE+jPOjeYmmxZ0+pO5LHujg48yOyqcd6HBfvIW/ZDxBNqWn+LF6LAjtli0ZPSc1g7XZHis
uKe/59ynaF6I07hwcpNLYluJf0M6QnnQncj0ikQReyegJwHsVukWkNkURI1VB9LCOoBVmOmfk0Iv
M4iuDfwKyU8/t/0tH9o5gjoTb9QB19B1HxCWmdgGD01eIQBn2wFIuc4hyBEHN6VZf6mc3iCBhIjp
lkgGsn/gQSQP+I/ywNSEH61cz3dvrnv/gAouDCwZflGn+jvBMxlUfccSCPTrBwHr3dcshEtGQmKG
m2i2MlZ3lXqIFrNFjOsUiFoqQj4XoyjWc9RNT9MUnsFNmO/4nuMHN7nqWqxJoTiQ7nT00O7sHZ1H
N2g5M753mRy9mESHNfIid1dlwnqtmwUxfJVU8lqhI8hi2wqcQf2dtxKlVLNZIr5cXjH7hLKUkJkp
bW+RDpG5Mdg0x81AMLxlJGmHtWTJDxVcoWTFHr56qiIqXko4eZZkdzw6C1Jd8kGMc9VCwRkBWgBx
SOXwVBs6YmjvWdZBRp4XIGmJn3j0wvdYWnANGTDjHyFxircLax+W5CV0XDhlaATCWJ5xU0sCYtB6
AMaRIrt1Dbvfx6A37hJrmTzopSkBQnkdzczsCmMD/04dwiKasRv1afcIryR57vN+OPtG5H7z7Jpn
E5nQ7xoe25ZYkpA0UWuGJGeMjvlKQDBVvZmlB7eW6a0SSGRWYmCWUXS8rwB5sSPsvYKMiJKRbl8W
BW7tGuEooToHS0u9QR4y3Rg5v2ym+CHId0ss6l3E6NjF8PDacNTF/Gl1vhUC2FcisCaHFqFyXdwb
SN97bbFUIbNnW2cpEaC2NbFxRqWxvlYu7tpRcflkFiYuXGdIz5Vj/SiaQU5liNDtZsLycJqdSb1c
j89gyDKk9fnkjC+SQ5lrudQM5UnJ7X5lzjSv/43mPNdhaed7e3apaPJmmjZCpqTuscZ37xm2lv0m
91N0Hn9OzP5PG23/PwqlUI5L/QHLynJMFxGnaaHq/F8rRTefv5rPv2Gm/dvdJ9DUv+0/h9958rf/
xv+w+Sw+yz//EXfVP3pt/+Uf8fcxo7L/AE9hOb7pEBah+Bj/ISkVfyDkdMGm2upKo7j6cf+H71Zc
AzBM5OPXqafDAPR/+m7FHzh1JT+PX+f6I73/iqTUtP9ZUnrFveKYwlIgHZbI/nUO+f15Scqoha3x
b7RLyPpAvATh+NzP1a3/ZG6jbYwKApI0+/2UtN+taC/2c4kpo18v6XNbJ9ukeA2JTk6Y23mDAyix
+KCiJydyHxftqje2ysP4QFFBmvkh9r7miekNedCrPnntxw9KocBghrcSy+NVqTZaM0j3ZmsbR+39
NLA+96F8Gtjn/wIWD/jvNONWLcfbqiFjWf4wrCKdiOU3DiNTQjXtCsxw5h2vx80MSTSP511xLQUl
o54Jrw/tDY9Ps03NLrpWxncTEV0+Yply/BJ++dx24qG4xiNR6nkovskkavHXOuV3l99Lb+ANA8GK
xgnPJW/PnJoY4PiorDPswMcoB2lpN6wUrP3V0UI6QQ5L6mRP8AMoL+/bHvNTHSGMNQxmHOKcA42a
dMqhaFe/XbyXaFidd8FugssUDISfAf5hDjJunTZjgTivm448WNkQmtTe2kl37qR9x3DkO1PyPFV8
VjwIJI6ZFoSB+bliBYPiM4jAfeDydbBHSboPyRgIoGZyjgrC5mvkDNdS665u8URPt//w2PwLcD59
2l9m2H9/KATvY2WaDLKZp//13soG0YJPJdVvWornpjNgszvteRrcPW/SwLUgReRKHtFr7XJ97xbT
zjWdG3ii/QbANOD89qrnC/3DNUQwMwQOnnHbpJDl+tA+20MFzcB9tB23ASJLEYX5qi5vRO/sGl3e
4J41sf9wcK10sjy4yNuAEhFHwFKTSwjG8sdp3IubvbOj3+KRWSdNsY1IsCboaE3duqnHK5ejPSGk
3RDHsokaY4+D+ty4zXawnfMs/JNkpTUBy/KnYlfE3VMKMZxbEpzC0TE/JBPIdOmPyP3vRMXcyagi
dlqKEYTPXQmVaKuH5OSVt6om9ZUUEZSaX0U37/Nc7KMRWzQFj4C7vpyWiUQxL/yctbutSobJ/MBV
/2frZ85HXhevlhWRvvJkNc1tA4mqNcencvpYUne60daMEhr80nsd2v3KADCC2SqItQlfgltklM7W
lP6eSe8vZCMAD4v5PppJSKbSwxhKPXhTj2wF5PLxn98m1jUt5x+d/9e3s63AssAjFML/543HUrFw
bsYyDGSV/Y6M/jXk6wsb86Omz1qG5og37oIG5m7ph/uobRiMTldV6cpEvbXtanXK8EhtkPcRq+Lf
k8fOu6u7tJ6P6rvD2BQPP9ot/zd3Nyuif/rcBAoxwxS8wDlgTOH9U7ZiS5PGdiQNg1o1CieafQwB
QC54g6eePTFCG0ZqMRMZ3os6knuj4CVVE6Rs4ahksFLHjAOVwRS/qUfoX0pxz5IkSJ8IBye1VpZE
8pMMj7xYd3Y+nZO0f9R0WouNPKuxfkXu9Fg4FMK217GRbuiPE7Y6jewqJq8er8bB+iFPmnVE1xkn
5oBoqRZYrbkeL/EwnDE732jJgjyR5W0MkADFs/9B2IG5srPhSZr5/YBFddW7+gfIWRy4tn4aO+PH
j21CuRP5I438sZXpG9kGu2Zo861r/mgmQjHKI7/kE0T1ATXNagGP3MXuC+iCHYFi/ko1XyNZFDPA
/qoYg9YkiX5ciyFe07+8lqQEjkm8d7D/ol27FUZybjtODy0wmHkkcZgQHOMewWfTPeOKvk5q3pas
fo6S6b63kGkM16bF6PZknq3rSOzdunx043EvMMSRIfQdCv2Yk1TQW1BMmWI2qQsJxjtHpThUejyP
jrehAHwsTIt+pZCbXviBb/rsdd1tFIstl/4kzDwYh5FTJnllDL1nNhh0Cs4ks+Tq1IVL0M5gKMAM
5AqpbPuWLo8hKCYEt5u4v/F1dkD6+trwFe5mmhx2ExB4y2LnZUsQX3v6xu5+CF++poece6SZoBrf
62JBw9um5d6ycrFebIeBilTda1qohwrlOlVnDWaXZYyvhzMNMyAmZ8Cj+oPuCTue/+owNUUA/MuL
iMjusTBUVXgqeQxpuKpzV2d7a2G5UAGjGeUli9Ibx5rHzRLKVY2Ibm1AZA6NbsPmf9um4yaM2pKT
6S21xr09Tfuij32k7wnO6I69eVy+Ra17mhr7Je88tiXyzV3qp6nou4C7+lCH6mex7JuwjxFztKgu
cjO6mSfkKD35gBswSnngOsspizi1ZHVf1JQXqhGfTktfB9z8UtnzZ1Zjjsj67o2ZKilaQPzWRGWe
G6d7HhbvOJA5CPWI8Xt2yCz3RSqzXHfmBCQqfQLI+NZb/Y0gi7eYoIMYZb4xc3tvjLhshTgXMtpk
bviCmHHlNeRUOf5F9sZtlL2jmcBc3K99oKbtkDzYYIqp0hFv6J8lAc7MNzZNPrawq/iPCPBuIbKl
voTG15ChM1rEx8QGL7Kmrdn73ykiYsSDsE1c9xL6vwuaRuUHjnHXeHcaIZ99X/YXZKnnhiST3sYK
Z1+GGRL7f2fu3JbTRoIw/CqpvdirhZKE0KG2NlVr40OckDgO2ThXLhm0SJxk62BZPP1+owNBRtiE
oTbWnQH3jFo9o+7p7v+fWF/njxG4D7SMLuNjUL+oGSUzOXGnfna2SIl/omvTHqQcJoOCetSZUeTk
9VTtezL+Yo7nZ4YVQr74WUCAj6P0ih4TzKVFpw84gb7IHH1QQCShWgdY+ezcB1QoNE+71O5A+S1A
hHk/fFLTIcWq1Eh1rmNA7o2MdT3Vri37kh4JcAM/KwLkkr3y2/2NNoWLvNsb+7dpFJ3Ok38fJwEo
VvbtY6czO7UfotvWnXHuh+NzeiVHDykNdCTWCO0Cu5fB5kE6Je2R8D2K7QBqWE5Yj1pgZvas8fwf
P2uNTx61TB+1QkjcrZZFH4VpnabB8j0Y7QNvfG/2lhN1YE9b34Ms+xZMl4MlLRzLm9g8ptaWvA3E
n+84YpydcP69oBafoOshXQyDZHlmLc1zckci2Ui3rYU7BbQiJ6dQsYQKjJb0Oc4nqRPTcJrQWWOk
NzSG0H6wNMzb+cPDhZ16LtyqAxDn747vJxp9Udm4FwAGcEQ3/vTkxqT5AsCX3uSB83eSYHcq5+JL
/UNwB+aCwqmIejaOjQsaYnpqEPZBpmL31fvefRcctvgMtHOtpwNMcBrqlHvrKfX85Pt94PfDFsW2
dgwqSCs7+sNbEulCEQMbcte+nFJFTAopGfjK/BqoQ/olAsrJx9HNVcdTL9CNfwIWheCEuQGRwoTq
yVwkAIJCFENBlPHlUOGoRLlKGQz3nNg5yTsMPydumF254MzFK9Qi8e1l4C/iQbDfjyo4pGZBJVLT
C/BPVKeoRGy1aDWfVD7j52TMnNiPkxH8IRrsh92ugatiKflF+DsLFuPyawtYKJNWR+p71x9N86wL
HT1/Z7v85rmZu/kj+QHtqONYySnAahu4b7iZRpMCaO1EyTplPSqdmlz0bzLempFsM4MD64FtYxEL
O4RrfLF+vJBHVruo4ImENRugOonmVFMR1Cn5VbMB025TYEXtkt0tNMQhxS9RwVauG9NWAHAuplUw
da4M9GeWgtY2yBoRjRJpiKu+FEy13bXx6TGHQkm/yhK2qoG6eq2Y1P5KoF+ZRmVFNCY3KsGA0ofe
FI6siqvYf/7/5bBVCeI4jWBslwXxRMbagjDaOc6coZaWgGmtbYqc2lncv2Lg0efX61MCQae0EpR2
lwJLcP9Ke+eYcU0Jlt7WNaurd+B2yq9Xp4SOZhiyr0dVbSuqoSocP9Tu3rTgwzIVjSj/tW2GJOAE
0ZbUAlDhWFYVXdO3bIXsAmAaqMAgFAugsLVXtAtwXi1KduWUoLR1kBRM00TSmuWbBs+enVZXS4/h
J96HO6ho5WNCKjIb5d6l70ZNTui2H1Sex+b3pWeVu08cyNZ+KJzNYuzCxxJ/v61tkbnXs/Zl5QXl
45T/Xt7g5tC1saq7qj48993QCYdeln+RldMUxOZ//UZuxSPnchk6Izfyap4PdN3V342u8urxPys/
ipx5JUZoRlRXV3/vL5bODSesxAixHVvDUH6ob4O7b6fZnjth9hSopNMVqCLSkv25MwRBvVHTOiGA
/BAXDsx1b3535nd/vnnvRDBz1DTEfiLeWrI38t4JF4RnU6cSlZt7sStKy8ZOZ08E5zuNrOAPzjTy
nFHqune1aYtGguqD/Y2x74y8rHkNiUYF+QE+jXymX8nJV1Hhgsjq5TIZJUPPDcOsJtzoqHjn8sIX
E+e2kpPP2iCUqD7YX99XzsShSMmpBWqlZyo76S/+dOrXNiySI8INkRU8cOb+jLz2KKlk5dtW4UXJ
Cv8ax6TLGzbxDunqA1j4NzeK3xy5oDjNarMvjkhkZ9932MzZsOKwZuNlwCUr/SyZID1en/cqopWW
HdRmLOTCUVINtb+F81Ze1Tt89IfBLU/3XQSM1iiqhAvrwUlUVRGPyd7H3yBcbn89Ucym5hlk2WH6
/jII6+4AohVTE+c+ssIHwHhCp1oJEvophR9g9TZXpmyMRTVJ9dn+D1/UvohHXUkq70QwrRxATX2B
jJnUPQMlp3E5gJr6L7DEbMeU28k967kzz99UizillLWerfVF2BCa1w/wPjwWNAH+Bhl0If8AdrML
3bTkA8jfM/R5PrXOku/gAG+aF/kUJO/gRTBCSfm79sFKDtO8H+1TKffsRJrizdXx/GYUWqUfmv6t
HmKLXwxnrhO+/Q8AAP//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microsoft.com/office/2014/relationships/chartEx" Target="../charts/chartEx1.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microsoft.com/office/2014/relationships/chartEx" Target="../charts/chartEx2.xml"/><Relationship Id="rId1" Type="http://schemas.openxmlformats.org/officeDocument/2006/relationships/chart" Target="../charts/chart13.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7</xdr:col>
      <xdr:colOff>276225</xdr:colOff>
      <xdr:row>0</xdr:row>
      <xdr:rowOff>0</xdr:rowOff>
    </xdr:from>
    <xdr:to>
      <xdr:col>14</xdr:col>
      <xdr:colOff>581025</xdr:colOff>
      <xdr:row>14</xdr:row>
      <xdr:rowOff>76200</xdr:rowOff>
    </xdr:to>
    <xdr:graphicFrame macro="">
      <xdr:nvGraphicFramePr>
        <xdr:cNvPr id="2" name="Chart 1">
          <a:extLst>
            <a:ext uri="{FF2B5EF4-FFF2-40B4-BE49-F238E27FC236}">
              <a16:creationId xmlns:a16="http://schemas.microsoft.com/office/drawing/2014/main" id="{F691C78F-685E-FB6E-9912-C381D21BD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xdr:colOff>
      <xdr:row>0</xdr:row>
      <xdr:rowOff>0</xdr:rowOff>
    </xdr:from>
    <xdr:to>
      <xdr:col>7</xdr:col>
      <xdr:colOff>309562</xdr:colOff>
      <xdr:row>14</xdr:row>
      <xdr:rowOff>76200</xdr:rowOff>
    </xdr:to>
    <xdr:graphicFrame macro="">
      <xdr:nvGraphicFramePr>
        <xdr:cNvPr id="3" name="Chart 1">
          <a:extLst>
            <a:ext uri="{FF2B5EF4-FFF2-40B4-BE49-F238E27FC236}">
              <a16:creationId xmlns:a16="http://schemas.microsoft.com/office/drawing/2014/main" id="{81019B49-8019-F630-0A4B-86A872723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95250</xdr:rowOff>
    </xdr:from>
    <xdr:to>
      <xdr:col>7</xdr:col>
      <xdr:colOff>304800</xdr:colOff>
      <xdr:row>28</xdr:row>
      <xdr:rowOff>171450</xdr:rowOff>
    </xdr:to>
    <xdr:graphicFrame macro="">
      <xdr:nvGraphicFramePr>
        <xdr:cNvPr id="4" name="Chart 1">
          <a:extLst>
            <a:ext uri="{FF2B5EF4-FFF2-40B4-BE49-F238E27FC236}">
              <a16:creationId xmlns:a16="http://schemas.microsoft.com/office/drawing/2014/main" id="{9DC1B7CA-0EAC-5D62-D037-047670E4B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323850</xdr:colOff>
      <xdr:row>14</xdr:row>
      <xdr:rowOff>95250</xdr:rowOff>
    </xdr:from>
    <xdr:to>
      <xdr:col>15</xdr:col>
      <xdr:colOff>19050</xdr:colOff>
      <xdr:row>28</xdr:row>
      <xdr:rowOff>171450</xdr:rowOff>
    </xdr:to>
    <xdr:graphicFrame macro="">
      <xdr:nvGraphicFramePr>
        <xdr:cNvPr id="5" name="Chart 1">
          <a:extLst>
            <a:ext uri="{FF2B5EF4-FFF2-40B4-BE49-F238E27FC236}">
              <a16:creationId xmlns:a16="http://schemas.microsoft.com/office/drawing/2014/main" id="{BCC9F09E-8EE7-2BE1-7F12-8080FA53D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28</xdr:row>
      <xdr:rowOff>180975</xdr:rowOff>
    </xdr:from>
    <xdr:to>
      <xdr:col>7</xdr:col>
      <xdr:colOff>304800</xdr:colOff>
      <xdr:row>43</xdr:row>
      <xdr:rowOff>66675</xdr:rowOff>
    </xdr:to>
    <xdr:graphicFrame macro="">
      <xdr:nvGraphicFramePr>
        <xdr:cNvPr id="6" name="Chart 3">
          <a:extLst>
            <a:ext uri="{FF2B5EF4-FFF2-40B4-BE49-F238E27FC236}">
              <a16:creationId xmlns:a16="http://schemas.microsoft.com/office/drawing/2014/main" id="{3E819A5A-0A5B-4B11-8D48-E7EA430BD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342900</xdr:colOff>
      <xdr:row>29</xdr:row>
      <xdr:rowOff>38100</xdr:rowOff>
    </xdr:from>
    <xdr:to>
      <xdr:col>15</xdr:col>
      <xdr:colOff>38100</xdr:colOff>
      <xdr:row>43</xdr:row>
      <xdr:rowOff>114300</xdr:rowOff>
    </xdr:to>
    <xdr:graphicFrame macro="">
      <xdr:nvGraphicFramePr>
        <xdr:cNvPr id="7" name="Chart 3">
          <a:extLst>
            <a:ext uri="{FF2B5EF4-FFF2-40B4-BE49-F238E27FC236}">
              <a16:creationId xmlns:a16="http://schemas.microsoft.com/office/drawing/2014/main" id="{1CFAB57B-8BAA-E0F2-08E0-BB76FE0D2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376237</xdr:colOff>
      <xdr:row>4</xdr:row>
      <xdr:rowOff>123825</xdr:rowOff>
    </xdr:from>
    <xdr:to>
      <xdr:col>11</xdr:col>
      <xdr:colOff>71437</xdr:colOff>
      <xdr:row>19</xdr:row>
      <xdr:rowOff>9525</xdr:rowOff>
    </xdr:to>
    <xdr:graphicFrame macro="">
      <xdr:nvGraphicFramePr>
        <xdr:cNvPr id="3" name="Chart 2">
          <a:extLst>
            <a:ext uri="{FF2B5EF4-FFF2-40B4-BE49-F238E27FC236}">
              <a16:creationId xmlns:a16="http://schemas.microsoft.com/office/drawing/2014/main" id="{ACDDF986-F3CE-A426-4B72-F5AED231AE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19050</xdr:rowOff>
    </xdr:from>
    <xdr:to>
      <xdr:col>7</xdr:col>
      <xdr:colOff>304800</xdr:colOff>
      <xdr:row>14</xdr:row>
      <xdr:rowOff>95250</xdr:rowOff>
    </xdr:to>
    <mc:AlternateContent xmlns:mc="http://schemas.openxmlformats.org/markup-compatibility/2006">
      <mc:Choice xmlns:cx4="http://schemas.microsoft.com/office/drawing/2016/5/10/chartex" Requires="cx4">
        <xdr:graphicFrame macro="">
          <xdr:nvGraphicFramePr>
            <xdr:cNvPr id="2" name="Chart 3">
              <a:extLst>
                <a:ext uri="{FF2B5EF4-FFF2-40B4-BE49-F238E27FC236}">
                  <a16:creationId xmlns:a16="http://schemas.microsoft.com/office/drawing/2014/main" id="{478CDF46-52DD-F26F-FF8C-4A3C3E3920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9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338137</xdr:colOff>
      <xdr:row>0</xdr:row>
      <xdr:rowOff>0</xdr:rowOff>
    </xdr:from>
    <xdr:to>
      <xdr:col>15</xdr:col>
      <xdr:colOff>33337</xdr:colOff>
      <xdr:row>14</xdr:row>
      <xdr:rowOff>76200</xdr:rowOff>
    </xdr:to>
    <xdr:graphicFrame macro="">
      <xdr:nvGraphicFramePr>
        <xdr:cNvPr id="3" name="Chart 2">
          <a:extLst>
            <a:ext uri="{FF2B5EF4-FFF2-40B4-BE49-F238E27FC236}">
              <a16:creationId xmlns:a16="http://schemas.microsoft.com/office/drawing/2014/main" id="{7BD7A5CF-951E-36CD-E492-A412AC30F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114300</xdr:rowOff>
    </xdr:from>
    <xdr:to>
      <xdr:col>7</xdr:col>
      <xdr:colOff>304800</xdr:colOff>
      <xdr:row>29</xdr:row>
      <xdr:rowOff>0</xdr:rowOff>
    </xdr:to>
    <xdr:graphicFrame macro="">
      <xdr:nvGraphicFramePr>
        <xdr:cNvPr id="4" name="Chart 2">
          <a:extLst>
            <a:ext uri="{FF2B5EF4-FFF2-40B4-BE49-F238E27FC236}">
              <a16:creationId xmlns:a16="http://schemas.microsoft.com/office/drawing/2014/main" id="{6653E1E5-CF71-E169-050C-42635A6BA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357187</xdr:colOff>
      <xdr:row>14</xdr:row>
      <xdr:rowOff>104775</xdr:rowOff>
    </xdr:from>
    <xdr:to>
      <xdr:col>15</xdr:col>
      <xdr:colOff>52387</xdr:colOff>
      <xdr:row>28</xdr:row>
      <xdr:rowOff>180975</xdr:rowOff>
    </xdr:to>
    <xdr:graphicFrame macro="">
      <xdr:nvGraphicFramePr>
        <xdr:cNvPr id="5" name="Chart 2">
          <a:extLst>
            <a:ext uri="{FF2B5EF4-FFF2-40B4-BE49-F238E27FC236}">
              <a16:creationId xmlns:a16="http://schemas.microsoft.com/office/drawing/2014/main" id="{A4329C93-7D59-1990-2F60-ED73A15CC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28575</xdr:rowOff>
    </xdr:from>
    <xdr:to>
      <xdr:col>9</xdr:col>
      <xdr:colOff>242889</xdr:colOff>
      <xdr:row>43</xdr:row>
      <xdr:rowOff>104775</xdr:rowOff>
    </xdr:to>
    <xdr:graphicFrame macro="">
      <xdr:nvGraphicFramePr>
        <xdr:cNvPr id="6" name="Chart 5">
          <a:extLst>
            <a:ext uri="{FF2B5EF4-FFF2-40B4-BE49-F238E27FC236}">
              <a16:creationId xmlns:a16="http://schemas.microsoft.com/office/drawing/2014/main" id="{995651FD-2F1B-A8DE-60BA-31FD1A6B6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328612</xdr:colOff>
      <xdr:row>29</xdr:row>
      <xdr:rowOff>28575</xdr:rowOff>
    </xdr:from>
    <xdr:to>
      <xdr:col>17</xdr:col>
      <xdr:colOff>23812</xdr:colOff>
      <xdr:row>43</xdr:row>
      <xdr:rowOff>104775</xdr:rowOff>
    </xdr:to>
    <xdr:graphicFrame macro="">
      <xdr:nvGraphicFramePr>
        <xdr:cNvPr id="7" name="Chart 4">
          <a:extLst>
            <a:ext uri="{FF2B5EF4-FFF2-40B4-BE49-F238E27FC236}">
              <a16:creationId xmlns:a16="http://schemas.microsoft.com/office/drawing/2014/main" id="{92137313-005C-64F6-AD13-D48B225F3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21</xdr:col>
      <xdr:colOff>85725</xdr:colOff>
      <xdr:row>27</xdr:row>
      <xdr:rowOff>47625</xdr:rowOff>
    </xdr:to>
    <xdr:sp macro="" textlink="">
      <xdr:nvSpPr>
        <xdr:cNvPr id="2" name="Rectangle: Rounded Corners 1">
          <a:extLst>
            <a:ext uri="{FF2B5EF4-FFF2-40B4-BE49-F238E27FC236}">
              <a16:creationId xmlns:a16="http://schemas.microsoft.com/office/drawing/2014/main" id="{AC8EF9C4-C274-57D0-EFDB-39542ECF07D2}"/>
            </a:ext>
          </a:extLst>
        </xdr:cNvPr>
        <xdr:cNvSpPr/>
      </xdr:nvSpPr>
      <xdr:spPr>
        <a:xfrm>
          <a:off x="0" y="1"/>
          <a:ext cx="12887325" cy="5191124"/>
        </a:xfrm>
        <a:prstGeom prst="roundRect">
          <a:avLst>
            <a:gd name="adj" fmla="val 146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266700</xdr:colOff>
      <xdr:row>5</xdr:row>
      <xdr:rowOff>76200</xdr:rowOff>
    </xdr:from>
    <xdr:to>
      <xdr:col>10</xdr:col>
      <xdr:colOff>142876</xdr:colOff>
      <xdr:row>14</xdr:row>
      <xdr:rowOff>171450</xdr:rowOff>
    </xdr:to>
    <xdr:graphicFrame macro="">
      <xdr:nvGraphicFramePr>
        <xdr:cNvPr id="3" name="Chart 2">
          <a:extLst>
            <a:ext uri="{FF2B5EF4-FFF2-40B4-BE49-F238E27FC236}">
              <a16:creationId xmlns:a16="http://schemas.microsoft.com/office/drawing/2014/main" id="{6573EB4A-6D9C-4AFC-B842-EAAA32BF08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219074</xdr:colOff>
      <xdr:row>5</xdr:row>
      <xdr:rowOff>66675</xdr:rowOff>
    </xdr:from>
    <xdr:to>
      <xdr:col>15</xdr:col>
      <xdr:colOff>361949</xdr:colOff>
      <xdr:row>14</xdr:row>
      <xdr:rowOff>161925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E2ADB696-0DA1-4253-8D5A-28890B69B9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15074" y="1019175"/>
              <a:ext cx="3190875" cy="1809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466726</xdr:colOff>
      <xdr:row>5</xdr:row>
      <xdr:rowOff>66675</xdr:rowOff>
    </xdr:from>
    <xdr:to>
      <xdr:col>20</xdr:col>
      <xdr:colOff>561976</xdr:colOff>
      <xdr:row>14</xdr:row>
      <xdr:rowOff>142875</xdr:rowOff>
    </xdr:to>
    <xdr:graphicFrame macro="">
      <xdr:nvGraphicFramePr>
        <xdr:cNvPr id="5" name="Chart 2">
          <a:extLst>
            <a:ext uri="{FF2B5EF4-FFF2-40B4-BE49-F238E27FC236}">
              <a16:creationId xmlns:a16="http://schemas.microsoft.com/office/drawing/2014/main" id="{08B6DBB5-79A3-4554-9672-87947F87C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257176</xdr:colOff>
      <xdr:row>15</xdr:row>
      <xdr:rowOff>28575</xdr:rowOff>
    </xdr:from>
    <xdr:to>
      <xdr:col>10</xdr:col>
      <xdr:colOff>142876</xdr:colOff>
      <xdr:row>26</xdr:row>
      <xdr:rowOff>133350</xdr:rowOff>
    </xdr:to>
    <xdr:graphicFrame macro="">
      <xdr:nvGraphicFramePr>
        <xdr:cNvPr id="6" name="Chart 2">
          <a:extLst>
            <a:ext uri="{FF2B5EF4-FFF2-40B4-BE49-F238E27FC236}">
              <a16:creationId xmlns:a16="http://schemas.microsoft.com/office/drawing/2014/main" id="{FC30D9C4-2BA5-4ABE-A68F-C14257D13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219075</xdr:colOff>
      <xdr:row>15</xdr:row>
      <xdr:rowOff>19049</xdr:rowOff>
    </xdr:from>
    <xdr:to>
      <xdr:col>15</xdr:col>
      <xdr:colOff>361950</xdr:colOff>
      <xdr:row>26</xdr:row>
      <xdr:rowOff>142874</xdr:rowOff>
    </xdr:to>
    <xdr:graphicFrame macro="">
      <xdr:nvGraphicFramePr>
        <xdr:cNvPr id="7" name="Chart 6">
          <a:extLst>
            <a:ext uri="{FF2B5EF4-FFF2-40B4-BE49-F238E27FC236}">
              <a16:creationId xmlns:a16="http://schemas.microsoft.com/office/drawing/2014/main" id="{0000A573-DB35-41F5-A57C-32A6C8A2F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457201</xdr:colOff>
      <xdr:row>15</xdr:row>
      <xdr:rowOff>0</xdr:rowOff>
    </xdr:from>
    <xdr:to>
      <xdr:col>20</xdr:col>
      <xdr:colOff>552451</xdr:colOff>
      <xdr:row>26</xdr:row>
      <xdr:rowOff>133350</xdr:rowOff>
    </xdr:to>
    <xdr:graphicFrame macro="">
      <xdr:nvGraphicFramePr>
        <xdr:cNvPr id="8" name="Chart 4">
          <a:extLst>
            <a:ext uri="{FF2B5EF4-FFF2-40B4-BE49-F238E27FC236}">
              <a16:creationId xmlns:a16="http://schemas.microsoft.com/office/drawing/2014/main" id="{D6EDFEB8-5CA9-4D24-A5A3-96BC78426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466725</xdr:colOff>
      <xdr:row>2</xdr:row>
      <xdr:rowOff>95250</xdr:rowOff>
    </xdr:from>
    <xdr:to>
      <xdr:col>20</xdr:col>
      <xdr:colOff>552450</xdr:colOff>
      <xdr:row>5</xdr:row>
      <xdr:rowOff>38100</xdr:rowOff>
    </xdr:to>
    <xdr:sp macro="" textlink="">
      <xdr:nvSpPr>
        <xdr:cNvPr id="12" name="Rectangle: Rounded Corners 11">
          <a:extLst>
            <a:ext uri="{FF2B5EF4-FFF2-40B4-BE49-F238E27FC236}">
              <a16:creationId xmlns:a16="http://schemas.microsoft.com/office/drawing/2014/main" id="{6EC0075E-F953-4ADA-8DC6-D4373CBAE379}"/>
            </a:ext>
          </a:extLst>
        </xdr:cNvPr>
        <xdr:cNvSpPr/>
      </xdr:nvSpPr>
      <xdr:spPr>
        <a:xfrm>
          <a:off x="9610725" y="476250"/>
          <a:ext cx="3133725" cy="514350"/>
        </a:xfrm>
        <a:prstGeom prst="roundRect">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 ORDER VALUE</a:t>
          </a:r>
          <a:br>
            <a:rPr lang="en-IN"/>
          </a:br>
          <a:r>
            <a:rPr lang="en-IN" sz="1100">
              <a:solidFill>
                <a:schemeClr val="dk1"/>
              </a:solidFill>
              <a:latin typeface="+mn-lt"/>
              <a:ea typeface="+mn-ea"/>
              <a:cs typeface="+mn-cs"/>
            </a:rPr>
            <a:t>₹31,512.51</a:t>
          </a:r>
          <a:endParaRPr lang="en-IN" sz="1100"/>
        </a:p>
      </xdr:txBody>
    </xdr:sp>
    <xdr:clientData/>
  </xdr:twoCellAnchor>
  <xdr:twoCellAnchor>
    <xdr:from>
      <xdr:col>10</xdr:col>
      <xdr:colOff>209549</xdr:colOff>
      <xdr:row>2</xdr:row>
      <xdr:rowOff>104775</xdr:rowOff>
    </xdr:from>
    <xdr:to>
      <xdr:col>15</xdr:col>
      <xdr:colOff>371474</xdr:colOff>
      <xdr:row>5</xdr:row>
      <xdr:rowOff>47625</xdr:rowOff>
    </xdr:to>
    <xdr:sp macro="" textlink="">
      <xdr:nvSpPr>
        <xdr:cNvPr id="13" name="Rectangle: Rounded Corners 12">
          <a:extLst>
            <a:ext uri="{FF2B5EF4-FFF2-40B4-BE49-F238E27FC236}">
              <a16:creationId xmlns:a16="http://schemas.microsoft.com/office/drawing/2014/main" id="{2E1C9071-ACCA-4007-BA59-CA0F85B17975}"/>
            </a:ext>
          </a:extLst>
        </xdr:cNvPr>
        <xdr:cNvSpPr/>
      </xdr:nvSpPr>
      <xdr:spPr>
        <a:xfrm>
          <a:off x="6305549" y="485775"/>
          <a:ext cx="3209925" cy="514350"/>
        </a:xfrm>
        <a:prstGeom prst="roundRect">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ORDERS</a:t>
          </a:r>
          <a:br>
            <a:rPr lang="en-IN"/>
          </a:br>
          <a:r>
            <a:rPr lang="en-IN" sz="1100">
              <a:solidFill>
                <a:schemeClr val="dk1"/>
              </a:solidFill>
              <a:latin typeface="+mn-lt"/>
              <a:ea typeface="+mn-ea"/>
              <a:cs typeface="+mn-cs"/>
            </a:rPr>
            <a:t>100</a:t>
          </a:r>
          <a:endParaRPr lang="en-IN" sz="1100"/>
        </a:p>
      </xdr:txBody>
    </xdr:sp>
    <xdr:clientData/>
  </xdr:twoCellAnchor>
  <xdr:twoCellAnchor>
    <xdr:from>
      <xdr:col>5</xdr:col>
      <xdr:colOff>257175</xdr:colOff>
      <xdr:row>2</xdr:row>
      <xdr:rowOff>104775</xdr:rowOff>
    </xdr:from>
    <xdr:to>
      <xdr:col>10</xdr:col>
      <xdr:colOff>152401</xdr:colOff>
      <xdr:row>5</xdr:row>
      <xdr:rowOff>47625</xdr:rowOff>
    </xdr:to>
    <xdr:sp macro="" textlink="">
      <xdr:nvSpPr>
        <xdr:cNvPr id="14" name="Rectangle: Rounded Corners 13">
          <a:extLst>
            <a:ext uri="{FF2B5EF4-FFF2-40B4-BE49-F238E27FC236}">
              <a16:creationId xmlns:a16="http://schemas.microsoft.com/office/drawing/2014/main" id="{02EBC3DF-0ADC-40B8-A72F-B83D38255A88}"/>
            </a:ext>
          </a:extLst>
        </xdr:cNvPr>
        <xdr:cNvSpPr/>
      </xdr:nvSpPr>
      <xdr:spPr>
        <a:xfrm>
          <a:off x="3305175" y="485775"/>
          <a:ext cx="2943226" cy="514350"/>
        </a:xfrm>
        <a:prstGeom prst="roundRect">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PROFIT</a:t>
          </a:r>
          <a:br>
            <a:rPr lang="en-IN"/>
          </a:br>
          <a:r>
            <a:rPr lang="en-IN" sz="1100">
              <a:solidFill>
                <a:schemeClr val="dk1"/>
              </a:solidFill>
              <a:latin typeface="+mn-lt"/>
              <a:ea typeface="+mn-ea"/>
              <a:cs typeface="+mn-cs"/>
            </a:rPr>
            <a:t>₹5,97,550.91</a:t>
          </a:r>
          <a:endParaRPr lang="en-IN" sz="1100"/>
        </a:p>
      </xdr:txBody>
    </xdr:sp>
    <xdr:clientData/>
  </xdr:twoCellAnchor>
  <xdr:twoCellAnchor>
    <xdr:from>
      <xdr:col>0</xdr:col>
      <xdr:colOff>57149</xdr:colOff>
      <xdr:row>2</xdr:row>
      <xdr:rowOff>104775</xdr:rowOff>
    </xdr:from>
    <xdr:to>
      <xdr:col>5</xdr:col>
      <xdr:colOff>142874</xdr:colOff>
      <xdr:row>5</xdr:row>
      <xdr:rowOff>47625</xdr:rowOff>
    </xdr:to>
    <xdr:sp macro="" textlink="">
      <xdr:nvSpPr>
        <xdr:cNvPr id="15" name="Rectangle: Rounded Corners 14">
          <a:extLst>
            <a:ext uri="{FF2B5EF4-FFF2-40B4-BE49-F238E27FC236}">
              <a16:creationId xmlns:a16="http://schemas.microsoft.com/office/drawing/2014/main" id="{D0C68E94-19ED-44EB-B2D5-A782F2488AD6}"/>
            </a:ext>
          </a:extLst>
        </xdr:cNvPr>
        <xdr:cNvSpPr/>
      </xdr:nvSpPr>
      <xdr:spPr>
        <a:xfrm>
          <a:off x="57149" y="485775"/>
          <a:ext cx="3133725" cy="514350"/>
        </a:xfrm>
        <a:prstGeom prst="roundRect">
          <a:avLst/>
        </a:prstGeom>
        <a:solidFill>
          <a:schemeClr val="accent5">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SALES</a:t>
          </a:r>
          <a:br>
            <a:rPr lang="en-IN"/>
          </a:br>
          <a:r>
            <a:rPr lang="en-IN" sz="1100">
              <a:solidFill>
                <a:schemeClr val="dk1"/>
              </a:solidFill>
              <a:latin typeface="+mn-lt"/>
              <a:ea typeface="+mn-ea"/>
              <a:cs typeface="+mn-cs"/>
            </a:rPr>
            <a:t>₹31,51,251.05</a:t>
          </a:r>
          <a:endParaRPr lang="en-IN" sz="1100"/>
        </a:p>
      </xdr:txBody>
    </xdr:sp>
    <xdr:clientData/>
  </xdr:twoCellAnchor>
  <xdr:twoCellAnchor editAs="oneCell">
    <xdr:from>
      <xdr:col>0</xdr:col>
      <xdr:colOff>47625</xdr:colOff>
      <xdr:row>5</xdr:row>
      <xdr:rowOff>66675</xdr:rowOff>
    </xdr:from>
    <xdr:to>
      <xdr:col>2</xdr:col>
      <xdr:colOff>342900</xdr:colOff>
      <xdr:row>14</xdr:row>
      <xdr:rowOff>104774</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4D149851-39B7-4E05-A65F-9CB45304E2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 y="1019175"/>
              <a:ext cx="1514475" cy="175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495301</xdr:colOff>
      <xdr:row>14</xdr:row>
      <xdr:rowOff>152401</xdr:rowOff>
    </xdr:from>
    <xdr:to>
      <xdr:col>5</xdr:col>
      <xdr:colOff>171451</xdr:colOff>
      <xdr:row>26</xdr:row>
      <xdr:rowOff>152400</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A744C6DA-5D62-44E8-9ECB-F13CD6BA5D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14501" y="2819401"/>
              <a:ext cx="1504950" cy="2285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514350</xdr:colOff>
      <xdr:row>5</xdr:row>
      <xdr:rowOff>66676</xdr:rowOff>
    </xdr:from>
    <xdr:to>
      <xdr:col>5</xdr:col>
      <xdr:colOff>190500</xdr:colOff>
      <xdr:row>14</xdr:row>
      <xdr:rowOff>95249</xdr:rowOff>
    </xdr:to>
    <mc:AlternateContent xmlns:mc="http://schemas.openxmlformats.org/markup-compatibility/2006">
      <mc:Choice xmlns:a14="http://schemas.microsoft.com/office/drawing/2010/main" Requires="a14">
        <xdr:graphicFrame macro="">
          <xdr:nvGraphicFramePr>
            <xdr:cNvPr id="20" name="Payment_Mode">
              <a:extLst>
                <a:ext uri="{FF2B5EF4-FFF2-40B4-BE49-F238E27FC236}">
                  <a16:creationId xmlns:a16="http://schemas.microsoft.com/office/drawing/2014/main" id="{D6A839C9-B616-4BE1-BB43-C70E12DBA1C0}"/>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733550" y="1019176"/>
              <a:ext cx="1504950" cy="1743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14</xdr:row>
      <xdr:rowOff>171452</xdr:rowOff>
    </xdr:from>
    <xdr:to>
      <xdr:col>2</xdr:col>
      <xdr:colOff>342900</xdr:colOff>
      <xdr:row>26</xdr:row>
      <xdr:rowOff>161925</xdr:rowOff>
    </xdr:to>
    <mc:AlternateContent xmlns:mc="http://schemas.openxmlformats.org/markup-compatibility/2006">
      <mc:Choice xmlns:a14="http://schemas.microsoft.com/office/drawing/2010/main" Requires="a14">
        <xdr:graphicFrame macro="">
          <xdr:nvGraphicFramePr>
            <xdr:cNvPr id="21" name="Order_Date">
              <a:extLst>
                <a:ext uri="{FF2B5EF4-FFF2-40B4-BE49-F238E27FC236}">
                  <a16:creationId xmlns:a16="http://schemas.microsoft.com/office/drawing/2014/main" id="{37E6C692-20C9-4A4C-BC66-6BBB057B4E17}"/>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dr:sp macro="" textlink="">
          <xdr:nvSpPr>
            <xdr:cNvPr id="0" name=""/>
            <xdr:cNvSpPr>
              <a:spLocks noTextEdit="1"/>
            </xdr:cNvSpPr>
          </xdr:nvSpPr>
          <xdr:spPr>
            <a:xfrm>
              <a:off x="47625" y="2838452"/>
              <a:ext cx="1514475" cy="2276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38099</xdr:colOff>
      <xdr:row>0</xdr:row>
      <xdr:rowOff>0</xdr:rowOff>
    </xdr:from>
    <xdr:to>
      <xdr:col>20</xdr:col>
      <xdr:colOff>561974</xdr:colOff>
      <xdr:row>2</xdr:row>
      <xdr:rowOff>47625</xdr:rowOff>
    </xdr:to>
    <xdr:sp macro="" textlink="">
      <xdr:nvSpPr>
        <xdr:cNvPr id="22" name="Rectangle: Rounded Corners 21">
          <a:extLst>
            <a:ext uri="{FF2B5EF4-FFF2-40B4-BE49-F238E27FC236}">
              <a16:creationId xmlns:a16="http://schemas.microsoft.com/office/drawing/2014/main" id="{8BC4060E-DF8B-D5DC-75FC-35680085A5AD}"/>
            </a:ext>
          </a:extLst>
        </xdr:cNvPr>
        <xdr:cNvSpPr/>
      </xdr:nvSpPr>
      <xdr:spPr>
        <a:xfrm>
          <a:off x="38099" y="0"/>
          <a:ext cx="12715875" cy="42862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2400" b="1">
              <a:solidFill>
                <a:schemeClr val="tx1"/>
              </a:solidFill>
            </a:rPr>
            <a:t>ECOMMERCE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ulananth T" refreshedDate="46242.764066087962" createdVersion="8" refreshedVersion="8" minRefreshableVersion="3" recordCount="100" xr:uid="{2C96AF9B-692E-4593-BB0D-711085C720F5}">
  <cacheSource type="worksheet">
    <worksheetSource name="Sales_Data"/>
  </cacheSource>
  <cacheFields count="18">
    <cacheField name="Order_ID" numFmtId="0">
      <sharedItems/>
    </cacheField>
    <cacheField name="Order_Date" numFmtId="164">
      <sharedItems containsSemiMixedTypes="0" containsNonDate="0" containsDate="1" containsString="0" minDate="2025-01-23T00:00:00" maxDate="2025-12-29T00:00:00" count="86">
        <d v="2025-05-06T00:00:00"/>
        <d v="2025-04-30T00:00:00"/>
        <d v="2025-05-23T00:00:00"/>
        <d v="2025-07-14T00:00:00"/>
        <d v="2025-02-10T00:00:00"/>
        <d v="2025-05-29T00:00:00"/>
        <d v="2025-04-18T00:00:00"/>
        <d v="2025-05-19T00:00:00"/>
        <d v="2025-02-03T00:00:00"/>
        <d v="2025-03-15T00:00:00"/>
        <d v="2025-03-12T00:00:00"/>
        <d v="2025-07-17T00:00:00"/>
        <d v="2025-05-17T00:00:00"/>
        <d v="2025-11-17T00:00:00"/>
        <d v="2025-09-08T00:00:00"/>
        <d v="2025-02-05T00:00:00"/>
        <d v="2025-12-20T00:00:00"/>
        <d v="2025-02-02T00:00:00"/>
        <d v="2025-04-28T00:00:00"/>
        <d v="2025-03-09T00:00:00"/>
        <d v="2025-07-01T00:00:00"/>
        <d v="2025-02-25T00:00:00"/>
        <d v="2025-02-08T00:00:00"/>
        <d v="2025-09-04T00:00:00"/>
        <d v="2025-05-27T00:00:00"/>
        <d v="2025-10-05T00:00:00"/>
        <d v="2025-04-06T00:00:00"/>
        <d v="2025-08-03T00:00:00"/>
        <d v="2025-09-17T00:00:00"/>
        <d v="2025-12-27T00:00:00"/>
        <d v="2025-05-16T00:00:00"/>
        <d v="2025-09-16T00:00:00"/>
        <d v="2025-06-20T00:00:00"/>
        <d v="2025-06-07T00:00:00"/>
        <d v="2025-07-28T00:00:00"/>
        <d v="2025-08-24T00:00:00"/>
        <d v="2025-04-02T00:00:00"/>
        <d v="2025-03-01T00:00:00"/>
        <d v="2025-06-17T00:00:00"/>
        <d v="2025-06-04T00:00:00"/>
        <d v="2025-08-15T00:00:00"/>
        <d v="2025-12-11T00:00:00"/>
        <d v="2025-08-22T00:00:00"/>
        <d v="2025-02-24T00:00:00"/>
        <d v="2025-08-26T00:00:00"/>
        <d v="2025-09-01T00:00:00"/>
        <d v="2025-12-28T00:00:00"/>
        <d v="2025-07-19T00:00:00"/>
        <d v="2025-12-06T00:00:00"/>
        <d v="2025-04-19T00:00:00"/>
        <d v="2025-08-29T00:00:00"/>
        <d v="2025-05-07T00:00:00"/>
        <d v="2025-07-08T00:00:00"/>
        <d v="2025-10-22T00:00:00"/>
        <d v="2025-12-17T00:00:00"/>
        <d v="2025-11-28T00:00:00"/>
        <d v="2025-08-11T00:00:00"/>
        <d v="2025-05-18T00:00:00"/>
        <d v="2025-10-19T00:00:00"/>
        <d v="2025-06-24T00:00:00"/>
        <d v="2025-07-27T00:00:00"/>
        <d v="2025-06-19T00:00:00"/>
        <d v="2025-06-01T00:00:00"/>
        <d v="2025-10-11T00:00:00"/>
        <d v="2025-08-14T00:00:00"/>
        <d v="2025-10-23T00:00:00"/>
        <d v="2025-11-13T00:00:00"/>
        <d v="2025-01-31T00:00:00"/>
        <d v="2025-03-30T00:00:00"/>
        <d v="2025-05-28T00:00:00"/>
        <d v="2025-04-26T00:00:00"/>
        <d v="2025-08-28T00:00:00"/>
        <d v="2025-11-06T00:00:00"/>
        <d v="2025-07-29T00:00:00"/>
        <d v="2025-10-09T00:00:00"/>
        <d v="2025-08-25T00:00:00"/>
        <d v="2025-04-15T00:00:00"/>
        <d v="2025-05-03T00:00:00"/>
        <d v="2025-09-13T00:00:00"/>
        <d v="2025-07-16T00:00:00"/>
        <d v="2025-10-06T00:00:00"/>
        <d v="2025-01-23T00:00:00"/>
        <d v="2025-09-15T00:00:00"/>
        <d v="2025-12-12T00:00:00"/>
        <d v="2025-04-27T00:00:00"/>
        <d v="2025-01-29T00:00:00"/>
      </sharedItems>
      <fieldGroup par="17"/>
    </cacheField>
    <cacheField name="Customer_ID" numFmtId="0">
      <sharedItems/>
    </cacheField>
    <cacheField name="Customer_Name" numFmtId="0">
      <sharedItems count="15">
        <s v="Naveen"/>
        <s v="Ashwin"/>
        <s v="Rahul"/>
        <s v="Manoj"/>
        <s v="Divya"/>
        <s v="Priya"/>
        <s v="Karthik"/>
        <s v="Vijay"/>
        <s v="Anjali"/>
        <s v="Sanjay"/>
        <s v="Arun"/>
        <s v="Pooja"/>
        <s v="Gokul"/>
        <s v="Harish"/>
        <s v="Keerthi"/>
      </sharedItems>
    </cacheField>
    <cacheField name="Product" numFmtId="0">
      <sharedItems count="15">
        <s v="Water Bottle"/>
        <s v="Desk"/>
        <s v="Keyboard"/>
        <s v="Yoga Mat"/>
        <s v="Smartphone"/>
        <s v="Bookshelf"/>
        <s v="Jeans"/>
        <s v="Running Shoes"/>
        <s v="Laptop"/>
        <s v="T-Shirt"/>
        <s v="Jacket"/>
        <s v="Wireless Mouse"/>
        <s v="Office Chair"/>
        <s v="Headphones"/>
        <s v="Backpack"/>
      </sharedItems>
    </cacheField>
    <cacheField name="Category" numFmtId="0">
      <sharedItems count="5">
        <s v="Sports"/>
        <s v="Furniture"/>
        <s v="Electronics"/>
        <s v="Fashion"/>
        <s v="Bags"/>
      </sharedItems>
    </cacheField>
    <cacheField name="Sub_Category" numFmtId="0">
      <sharedItems/>
    </cacheField>
    <cacheField name="Region" numFmtId="0">
      <sharedItems count="4">
        <s v="South"/>
        <s v="East"/>
        <s v="West"/>
        <s v="North"/>
      </sharedItems>
    </cacheField>
    <cacheField name="State" numFmtId="0">
      <sharedItems count="9">
        <s v="Tamil Nadu"/>
        <s v="West Bengal"/>
        <s v="Gujarat"/>
        <s v="Delhi"/>
        <s v="Maharashtra"/>
        <s v="Kerala"/>
        <s v="Odisha"/>
        <s v="Rajasthan"/>
        <s v="Karnataka"/>
      </sharedItems>
    </cacheField>
    <cacheField name="City" numFmtId="0">
      <sharedItems/>
    </cacheField>
    <cacheField name="Sales" numFmtId="165">
      <sharedItems containsSemiMixedTypes="0" containsString="0" containsNumber="1" minValue="569.04999999999995" maxValue="308750"/>
    </cacheField>
    <cacheField name="Quantity" numFmtId="2">
      <sharedItems containsSemiMixedTypes="0" containsString="0" containsNumber="1" containsInteger="1" minValue="1" maxValue="5"/>
    </cacheField>
    <cacheField name="Discount" numFmtId="10">
      <sharedItems containsSemiMixedTypes="0" containsString="0" containsNumber="1" minValue="0" maxValue="0.2" count="5">
        <n v="0.05"/>
        <n v="0.2"/>
        <n v="0.1"/>
        <n v="0"/>
        <n v="0.15"/>
      </sharedItems>
    </cacheField>
    <cacheField name="Profit" numFmtId="165">
      <sharedItems containsSemiMixedTypes="0" containsString="0" containsNumber="1" minValue="57.79" maxValue="67345.13"/>
    </cacheField>
    <cacheField name="Payment_Mode" numFmtId="0">
      <sharedItems count="4">
        <s v="UPI"/>
        <s v="Credit Card"/>
        <s v="Debit Card"/>
        <s v="Cash"/>
      </sharedItems>
    </cacheField>
    <cacheField name="Shipping_Mode" numFmtId="0">
      <sharedItems count="3">
        <s v="Same Day"/>
        <s v="Express"/>
        <s v="Standard"/>
      </sharedItems>
    </cacheField>
    <cacheField name="Profit_Margin" numFmtId="10">
      <sharedItems containsSemiMixedTypes="0" containsString="0" containsNumber="1" minValue="8.5307186740963006E-2" maxValue="0.27922364909939962"/>
    </cacheField>
    <cacheField name="Months (Order_Date)" numFmtId="0" databaseField="0">
      <fieldGroup base="1">
        <rangePr groupBy="months" startDate="2025-01-23T00:00:00" endDate="2025-12-29T00:00:00"/>
        <groupItems count="14">
          <s v="&lt;23-01-2025"/>
          <s v="Jan"/>
          <s v="Feb"/>
          <s v="Mar"/>
          <s v="Apr"/>
          <s v="May"/>
          <s v="Jun"/>
          <s v="Jul"/>
          <s v="Aug"/>
          <s v="Sep"/>
          <s v="Oct"/>
          <s v="Nov"/>
          <s v="Dec"/>
          <s v="&gt;29-12-2025"/>
        </groupItems>
      </fieldGroup>
    </cacheField>
  </cacheFields>
  <extLst>
    <ext xmlns:x14="http://schemas.microsoft.com/office/spreadsheetml/2009/9/main" uri="{725AE2AE-9491-48be-B2B4-4EB974FC3084}">
      <x14:pivotCacheDefinition pivotCacheId="1445574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s v="C1018"/>
    <x v="0"/>
    <x v="0"/>
    <x v="0"/>
    <s v="Fitness"/>
    <x v="0"/>
    <x v="0"/>
    <s v="Chennai"/>
    <n v="1138.0999999999999"/>
    <n v="2"/>
    <x v="0"/>
    <n v="258.68"/>
    <x v="0"/>
    <x v="0"/>
    <n v="0.22729109920042179"/>
  </r>
  <r>
    <s v="ORD0002"/>
    <x v="1"/>
    <s v="C1014"/>
    <x v="1"/>
    <x v="1"/>
    <x v="1"/>
    <s v="Tables"/>
    <x v="0"/>
    <x v="0"/>
    <s v="Chennai"/>
    <n v="27996"/>
    <n v="5"/>
    <x v="1"/>
    <n v="2388.2600000000002"/>
    <x v="1"/>
    <x v="0"/>
    <n v="8.5307186740963006E-2"/>
  </r>
  <r>
    <s v="ORD0003"/>
    <x v="2"/>
    <s v="C1038"/>
    <x v="2"/>
    <x v="0"/>
    <x v="0"/>
    <s v="Fitness"/>
    <x v="1"/>
    <x v="1"/>
    <s v="Kolkata"/>
    <n v="569.04999999999995"/>
    <n v="1"/>
    <x v="0"/>
    <n v="124.98"/>
    <x v="2"/>
    <x v="1"/>
    <n v="0.21962920657235746"/>
  </r>
  <r>
    <s v="ORD0004"/>
    <x v="3"/>
    <s v="C1006"/>
    <x v="1"/>
    <x v="2"/>
    <x v="2"/>
    <s v="Accessories"/>
    <x v="2"/>
    <x v="2"/>
    <s v="Ahmedabad"/>
    <n v="1349.1"/>
    <n v="1"/>
    <x v="2"/>
    <n v="336.6"/>
    <x v="2"/>
    <x v="2"/>
    <n v="0.24949966644429622"/>
  </r>
  <r>
    <s v="ORD0005"/>
    <x v="4"/>
    <s v="C1025"/>
    <x v="3"/>
    <x v="3"/>
    <x v="0"/>
    <s v="Fitness"/>
    <x v="1"/>
    <x v="1"/>
    <s v="Kolkata"/>
    <n v="4495.5"/>
    <n v="5"/>
    <x v="2"/>
    <n v="1105.3599999999999"/>
    <x v="2"/>
    <x v="0"/>
    <n v="0.24588143699254808"/>
  </r>
  <r>
    <s v="ORD0006"/>
    <x v="5"/>
    <s v="C1015"/>
    <x v="4"/>
    <x v="4"/>
    <x v="2"/>
    <s v="Mobiles"/>
    <x v="0"/>
    <x v="0"/>
    <s v="Chennai"/>
    <n v="28499.05"/>
    <n v="1"/>
    <x v="0"/>
    <n v="7218.72"/>
    <x v="3"/>
    <x v="1"/>
    <n v="0.25329686428144099"/>
  </r>
  <r>
    <s v="ORD0007"/>
    <x v="6"/>
    <s v="C1023"/>
    <x v="5"/>
    <x v="5"/>
    <x v="1"/>
    <s v="Storage"/>
    <x v="3"/>
    <x v="3"/>
    <s v="New Delhi"/>
    <n v="16497"/>
    <n v="3"/>
    <x v="3"/>
    <n v="3329.53"/>
    <x v="1"/>
    <x v="0"/>
    <n v="0.20182639267745653"/>
  </r>
  <r>
    <s v="ORD0008"/>
    <x v="7"/>
    <s v="C1025"/>
    <x v="2"/>
    <x v="3"/>
    <x v="0"/>
    <s v="Fitness"/>
    <x v="2"/>
    <x v="4"/>
    <s v="Mumbai"/>
    <n v="4745.25"/>
    <n v="5"/>
    <x v="0"/>
    <n v="1029.3499999999999"/>
    <x v="0"/>
    <x v="2"/>
    <n v="0.21692218534323796"/>
  </r>
  <r>
    <s v="ORD0009"/>
    <x v="8"/>
    <s v="C1018"/>
    <x v="6"/>
    <x v="6"/>
    <x v="3"/>
    <s v="Clothing"/>
    <x v="0"/>
    <x v="5"/>
    <s v="Kochi"/>
    <n v="2878.4"/>
    <n v="2"/>
    <x v="1"/>
    <n v="734.78"/>
    <x v="2"/>
    <x v="2"/>
    <n v="0.25527376320177875"/>
  </r>
  <r>
    <s v="ORD0010"/>
    <x v="9"/>
    <s v="C1030"/>
    <x v="3"/>
    <x v="0"/>
    <x v="0"/>
    <s v="Fitness"/>
    <x v="1"/>
    <x v="6"/>
    <s v="Bhubaneswar"/>
    <n v="1707.15"/>
    <n v="3"/>
    <x v="0"/>
    <n v="220.78"/>
    <x v="2"/>
    <x v="0"/>
    <n v="0.12932665553700612"/>
  </r>
  <r>
    <s v="ORD0011"/>
    <x v="10"/>
    <s v="C1015"/>
    <x v="5"/>
    <x v="7"/>
    <x v="0"/>
    <s v="Footwear"/>
    <x v="1"/>
    <x v="6"/>
    <s v="Bhubaneswar"/>
    <n v="14870.75"/>
    <n v="5"/>
    <x v="4"/>
    <n v="1460.04"/>
    <x v="0"/>
    <x v="2"/>
    <n v="9.8182001580283437E-2"/>
  </r>
  <r>
    <s v="ORD0012"/>
    <x v="11"/>
    <s v="C1005"/>
    <x v="7"/>
    <x v="2"/>
    <x v="2"/>
    <s v="Accessories"/>
    <x v="2"/>
    <x v="2"/>
    <s v="Ahmedabad"/>
    <n v="4796.8"/>
    <n v="4"/>
    <x v="1"/>
    <n v="1339.38"/>
    <x v="2"/>
    <x v="0"/>
    <n v="0.27922364909939962"/>
  </r>
  <r>
    <s v="ORD0013"/>
    <x v="12"/>
    <s v="C1035"/>
    <x v="4"/>
    <x v="6"/>
    <x v="3"/>
    <s v="Clothing"/>
    <x v="0"/>
    <x v="0"/>
    <s v="Chennai"/>
    <n v="5397"/>
    <n v="3"/>
    <x v="3"/>
    <n v="748.56"/>
    <x v="1"/>
    <x v="1"/>
    <n v="0.13869927737632018"/>
  </r>
  <r>
    <s v="ORD0014"/>
    <x v="13"/>
    <s v="C1007"/>
    <x v="8"/>
    <x v="8"/>
    <x v="2"/>
    <s v="Computers"/>
    <x v="3"/>
    <x v="3"/>
    <s v="New Delhi"/>
    <n v="156000"/>
    <n v="3"/>
    <x v="1"/>
    <n v="31479.87"/>
    <x v="1"/>
    <x v="1"/>
    <n v="0.20179403846153846"/>
  </r>
  <r>
    <s v="ORD0015"/>
    <x v="14"/>
    <s v="C1021"/>
    <x v="7"/>
    <x v="9"/>
    <x v="3"/>
    <s v="Clothing"/>
    <x v="2"/>
    <x v="4"/>
    <s v="Mumbai"/>
    <n v="799"/>
    <n v="1"/>
    <x v="3"/>
    <n v="212.39"/>
    <x v="2"/>
    <x v="2"/>
    <n v="0.26581977471839796"/>
  </r>
  <r>
    <s v="ORD0016"/>
    <x v="15"/>
    <s v="C1032"/>
    <x v="1"/>
    <x v="8"/>
    <x v="2"/>
    <s v="Computers"/>
    <x v="2"/>
    <x v="4"/>
    <s v="Mumbai"/>
    <n v="308750"/>
    <n v="5"/>
    <x v="0"/>
    <n v="32628.17"/>
    <x v="3"/>
    <x v="0"/>
    <n v="0.10567828340080972"/>
  </r>
  <r>
    <s v="ORD0017"/>
    <x v="16"/>
    <s v="C1035"/>
    <x v="9"/>
    <x v="2"/>
    <x v="2"/>
    <s v="Accessories"/>
    <x v="3"/>
    <x v="7"/>
    <s v="Jaipur"/>
    <n v="2698.2"/>
    <n v="2"/>
    <x v="2"/>
    <n v="431.17"/>
    <x v="2"/>
    <x v="1"/>
    <n v="0.15979912534282115"/>
  </r>
  <r>
    <s v="ORD0018"/>
    <x v="17"/>
    <s v="C1015"/>
    <x v="9"/>
    <x v="10"/>
    <x v="3"/>
    <s v="Clothing"/>
    <x v="1"/>
    <x v="1"/>
    <s v="Kolkata"/>
    <n v="8997"/>
    <n v="3"/>
    <x v="3"/>
    <n v="1778.36"/>
    <x v="1"/>
    <x v="0"/>
    <n v="0.19766144270312325"/>
  </r>
  <r>
    <s v="ORD0019"/>
    <x v="18"/>
    <s v="C1004"/>
    <x v="0"/>
    <x v="4"/>
    <x v="2"/>
    <s v="Mobiles"/>
    <x v="0"/>
    <x v="0"/>
    <s v="Chennai"/>
    <n v="29999"/>
    <n v="1"/>
    <x v="3"/>
    <n v="7557.56"/>
    <x v="0"/>
    <x v="0"/>
    <n v="0.25192706423547451"/>
  </r>
  <r>
    <s v="ORD0020"/>
    <x v="19"/>
    <s v="C1035"/>
    <x v="9"/>
    <x v="4"/>
    <x v="2"/>
    <s v="Mobiles"/>
    <x v="3"/>
    <x v="7"/>
    <s v="Jaipur"/>
    <n v="119996"/>
    <n v="5"/>
    <x v="1"/>
    <n v="20943.41"/>
    <x v="3"/>
    <x v="1"/>
    <n v="0.17453423447448249"/>
  </r>
  <r>
    <s v="ORD0021"/>
    <x v="20"/>
    <s v="C1028"/>
    <x v="4"/>
    <x v="4"/>
    <x v="2"/>
    <s v="Mobiles"/>
    <x v="0"/>
    <x v="0"/>
    <s v="Chennai"/>
    <n v="101996.6"/>
    <n v="4"/>
    <x v="4"/>
    <n v="17686.71"/>
    <x v="0"/>
    <x v="0"/>
    <n v="0.17340489781031915"/>
  </r>
  <r>
    <s v="ORD0022"/>
    <x v="21"/>
    <s v="C1022"/>
    <x v="6"/>
    <x v="0"/>
    <x v="0"/>
    <s v="Fitness"/>
    <x v="0"/>
    <x v="0"/>
    <s v="Chennai"/>
    <n v="1138.0999999999999"/>
    <n v="2"/>
    <x v="0"/>
    <n v="134.34"/>
    <x v="3"/>
    <x v="2"/>
    <n v="0.11803883665758721"/>
  </r>
  <r>
    <s v="ORD0023"/>
    <x v="22"/>
    <s v="C1016"/>
    <x v="2"/>
    <x v="1"/>
    <x v="1"/>
    <s v="Tables"/>
    <x v="2"/>
    <x v="2"/>
    <s v="Ahmedabad"/>
    <n v="22396.799999999999"/>
    <n v="4"/>
    <x v="1"/>
    <n v="2230.31"/>
    <x v="0"/>
    <x v="2"/>
    <n v="9.9581636662380346E-2"/>
  </r>
  <r>
    <s v="ORD0024"/>
    <x v="23"/>
    <s v="C1032"/>
    <x v="6"/>
    <x v="10"/>
    <x v="3"/>
    <s v="Clothing"/>
    <x v="2"/>
    <x v="4"/>
    <s v="Mumbai"/>
    <n v="5098.3"/>
    <n v="2"/>
    <x v="4"/>
    <n v="1328.05"/>
    <x v="1"/>
    <x v="1"/>
    <n v="0.26048879038110739"/>
  </r>
  <r>
    <s v="ORD0025"/>
    <x v="24"/>
    <s v="C1030"/>
    <x v="3"/>
    <x v="8"/>
    <x v="2"/>
    <s v="Computers"/>
    <x v="1"/>
    <x v="6"/>
    <s v="Bhubaneswar"/>
    <n v="208000"/>
    <n v="4"/>
    <x v="1"/>
    <n v="44173.85"/>
    <x v="3"/>
    <x v="2"/>
    <n v="0.21237427884615384"/>
  </r>
  <r>
    <s v="ORD0026"/>
    <x v="25"/>
    <s v="C1038"/>
    <x v="10"/>
    <x v="4"/>
    <x v="2"/>
    <s v="Mobiles"/>
    <x v="3"/>
    <x v="3"/>
    <s v="New Delhi"/>
    <n v="26999.1"/>
    <n v="1"/>
    <x v="2"/>
    <n v="2468.61"/>
    <x v="3"/>
    <x v="0"/>
    <n v="9.1433047768258946E-2"/>
  </r>
  <r>
    <s v="ORD0027"/>
    <x v="26"/>
    <s v="C1006"/>
    <x v="8"/>
    <x v="10"/>
    <x v="3"/>
    <s v="Clothing"/>
    <x v="2"/>
    <x v="4"/>
    <s v="Mumbai"/>
    <n v="2399.1999999999998"/>
    <n v="1"/>
    <x v="1"/>
    <n v="224.55"/>
    <x v="1"/>
    <x v="1"/>
    <n v="9.3593697899299777E-2"/>
  </r>
  <r>
    <s v="ORD0028"/>
    <x v="27"/>
    <s v="C1006"/>
    <x v="7"/>
    <x v="11"/>
    <x v="2"/>
    <s v="Accessories"/>
    <x v="2"/>
    <x v="4"/>
    <s v="Mumbai"/>
    <n v="3596"/>
    <n v="5"/>
    <x v="1"/>
    <n v="663.67"/>
    <x v="2"/>
    <x v="2"/>
    <n v="0.18455784204671857"/>
  </r>
  <r>
    <s v="ORD0029"/>
    <x v="19"/>
    <s v="C1026"/>
    <x v="11"/>
    <x v="0"/>
    <x v="0"/>
    <s v="Fitness"/>
    <x v="3"/>
    <x v="3"/>
    <s v="New Delhi"/>
    <n v="1527.45"/>
    <n v="3"/>
    <x v="4"/>
    <n v="218.78"/>
    <x v="0"/>
    <x v="2"/>
    <n v="0.14323218435955351"/>
  </r>
  <r>
    <s v="ORD0030"/>
    <x v="28"/>
    <s v="C1014"/>
    <x v="8"/>
    <x v="5"/>
    <x v="1"/>
    <s v="Storage"/>
    <x v="0"/>
    <x v="0"/>
    <s v="Chennai"/>
    <n v="15672.15"/>
    <n v="3"/>
    <x v="0"/>
    <n v="4179.01"/>
    <x v="0"/>
    <x v="2"/>
    <n v="0.26665199095210296"/>
  </r>
  <r>
    <s v="ORD0031"/>
    <x v="29"/>
    <s v="C1035"/>
    <x v="2"/>
    <x v="12"/>
    <x v="1"/>
    <s v="Chairs"/>
    <x v="3"/>
    <x v="3"/>
    <s v="New Delhi"/>
    <n v="21597.599999999999"/>
    <n v="3"/>
    <x v="1"/>
    <n v="5977.58"/>
    <x v="0"/>
    <x v="0"/>
    <n v="0.27677056710004816"/>
  </r>
  <r>
    <s v="ORD0032"/>
    <x v="30"/>
    <s v="C1009"/>
    <x v="3"/>
    <x v="6"/>
    <x v="3"/>
    <s v="Clothing"/>
    <x v="3"/>
    <x v="3"/>
    <s v="New Delhi"/>
    <n v="1799"/>
    <n v="1"/>
    <x v="3"/>
    <n v="411.04"/>
    <x v="1"/>
    <x v="1"/>
    <n v="0.22848249027237355"/>
  </r>
  <r>
    <s v="ORD0033"/>
    <x v="31"/>
    <s v="C1017"/>
    <x v="9"/>
    <x v="13"/>
    <x v="2"/>
    <s v="Accessories"/>
    <x v="2"/>
    <x v="2"/>
    <s v="Ahmedabad"/>
    <n v="8996.4"/>
    <n v="4"/>
    <x v="2"/>
    <n v="2348.67"/>
    <x v="0"/>
    <x v="2"/>
    <n v="0.26106776043750834"/>
  </r>
  <r>
    <s v="ORD0034"/>
    <x v="32"/>
    <s v="C1001"/>
    <x v="10"/>
    <x v="0"/>
    <x v="0"/>
    <s v="Fitness"/>
    <x v="1"/>
    <x v="6"/>
    <s v="Bhubaneswar"/>
    <n v="1078.2"/>
    <n v="2"/>
    <x v="2"/>
    <n v="121.1"/>
    <x v="3"/>
    <x v="0"/>
    <n v="0.11231682433685772"/>
  </r>
  <r>
    <s v="ORD0035"/>
    <x v="16"/>
    <s v="C1005"/>
    <x v="1"/>
    <x v="3"/>
    <x v="0"/>
    <s v="Fitness"/>
    <x v="1"/>
    <x v="1"/>
    <s v="Kolkata"/>
    <n v="1598.4"/>
    <n v="2"/>
    <x v="1"/>
    <n v="139.38999999999999"/>
    <x v="2"/>
    <x v="0"/>
    <n v="8.7205955955955941E-2"/>
  </r>
  <r>
    <s v="ORD0036"/>
    <x v="33"/>
    <s v="C1003"/>
    <x v="12"/>
    <x v="14"/>
    <x v="4"/>
    <s v="Travel"/>
    <x v="2"/>
    <x v="2"/>
    <s v="Ahmedabad"/>
    <n v="5397"/>
    <n v="3"/>
    <x v="3"/>
    <n v="1402.06"/>
    <x v="1"/>
    <x v="0"/>
    <n v="0.25978506577728366"/>
  </r>
  <r>
    <s v="ORD0037"/>
    <x v="34"/>
    <s v="C1036"/>
    <x v="13"/>
    <x v="4"/>
    <x v="2"/>
    <s v="Mobiles"/>
    <x v="0"/>
    <x v="5"/>
    <s v="Kochi"/>
    <n v="142495.25"/>
    <n v="5"/>
    <x v="0"/>
    <n v="37783.01"/>
    <x v="1"/>
    <x v="2"/>
    <n v="0.26515276825016976"/>
  </r>
  <r>
    <s v="ORD0038"/>
    <x v="32"/>
    <s v="C1012"/>
    <x v="10"/>
    <x v="9"/>
    <x v="3"/>
    <s v="Clothing"/>
    <x v="2"/>
    <x v="2"/>
    <s v="Ahmedabad"/>
    <n v="3036.2"/>
    <n v="4"/>
    <x v="0"/>
    <n v="404.91"/>
    <x v="0"/>
    <x v="1"/>
    <n v="0.13336077992227127"/>
  </r>
  <r>
    <s v="ORD0039"/>
    <x v="35"/>
    <s v="C1013"/>
    <x v="9"/>
    <x v="6"/>
    <x v="3"/>
    <s v="Clothing"/>
    <x v="0"/>
    <x v="8"/>
    <s v="Bengaluru"/>
    <n v="4857.3"/>
    <n v="3"/>
    <x v="2"/>
    <n v="1185.7"/>
    <x v="1"/>
    <x v="2"/>
    <n v="0.24410680830914294"/>
  </r>
  <r>
    <s v="ORD0040"/>
    <x v="15"/>
    <s v="C1018"/>
    <x v="5"/>
    <x v="8"/>
    <x v="2"/>
    <s v="Computers"/>
    <x v="2"/>
    <x v="2"/>
    <s v="Ahmedabad"/>
    <n v="175500"/>
    <n v="3"/>
    <x v="2"/>
    <n v="36556.01"/>
    <x v="3"/>
    <x v="0"/>
    <n v="0.20829635327635329"/>
  </r>
  <r>
    <s v="ORD0041"/>
    <x v="36"/>
    <s v="C1017"/>
    <x v="1"/>
    <x v="6"/>
    <x v="3"/>
    <s v="Clothing"/>
    <x v="3"/>
    <x v="3"/>
    <s v="New Delhi"/>
    <n v="8095.5"/>
    <n v="5"/>
    <x v="2"/>
    <n v="709.58"/>
    <x v="3"/>
    <x v="1"/>
    <n v="8.7651164227039724E-2"/>
  </r>
  <r>
    <s v="ORD0042"/>
    <x v="37"/>
    <s v="C1033"/>
    <x v="7"/>
    <x v="3"/>
    <x v="0"/>
    <s v="Fitness"/>
    <x v="3"/>
    <x v="7"/>
    <s v="Jaipur"/>
    <n v="3196.8"/>
    <n v="4"/>
    <x v="1"/>
    <n v="377.27"/>
    <x v="0"/>
    <x v="0"/>
    <n v="0.11801488988988988"/>
  </r>
  <r>
    <s v="ORD0043"/>
    <x v="15"/>
    <s v="C1028"/>
    <x v="5"/>
    <x v="1"/>
    <x v="1"/>
    <s v="Tables"/>
    <x v="0"/>
    <x v="0"/>
    <s v="Coimbatore"/>
    <n v="16797.599999999999"/>
    <n v="3"/>
    <x v="1"/>
    <n v="2398.41"/>
    <x v="0"/>
    <x v="0"/>
    <n v="0.14278289755679383"/>
  </r>
  <r>
    <s v="ORD0044"/>
    <x v="38"/>
    <s v="C1027"/>
    <x v="4"/>
    <x v="10"/>
    <x v="3"/>
    <s v="Clothing"/>
    <x v="3"/>
    <x v="7"/>
    <s v="Jaipur"/>
    <n v="10796.4"/>
    <n v="4"/>
    <x v="2"/>
    <n v="2060.84"/>
    <x v="1"/>
    <x v="1"/>
    <n v="0.19088214590048536"/>
  </r>
  <r>
    <s v="ORD0045"/>
    <x v="39"/>
    <s v="C1037"/>
    <x v="7"/>
    <x v="0"/>
    <x v="0"/>
    <s v="Fitness"/>
    <x v="1"/>
    <x v="1"/>
    <s v="Kolkata"/>
    <n v="1916.8"/>
    <n v="4"/>
    <x v="1"/>
    <n v="472.96"/>
    <x v="2"/>
    <x v="1"/>
    <n v="0.24674457429048413"/>
  </r>
  <r>
    <s v="ORD0046"/>
    <x v="40"/>
    <s v="C1029"/>
    <x v="2"/>
    <x v="4"/>
    <x v="2"/>
    <s v="Mobiles"/>
    <x v="1"/>
    <x v="6"/>
    <s v="Bhubaneswar"/>
    <n v="47998.400000000001"/>
    <n v="2"/>
    <x v="1"/>
    <n v="8382.31"/>
    <x v="1"/>
    <x v="0"/>
    <n v="0.17463727957598585"/>
  </r>
  <r>
    <s v="ORD0047"/>
    <x v="41"/>
    <s v="C1016"/>
    <x v="1"/>
    <x v="11"/>
    <x v="2"/>
    <s v="Accessories"/>
    <x v="3"/>
    <x v="7"/>
    <s v="Jaipur"/>
    <n v="2562.15"/>
    <n v="3"/>
    <x v="0"/>
    <n v="618.28"/>
    <x v="1"/>
    <x v="2"/>
    <n v="0.24131295981890208"/>
  </r>
  <r>
    <s v="ORD0048"/>
    <x v="42"/>
    <s v="C1005"/>
    <x v="7"/>
    <x v="8"/>
    <x v="2"/>
    <s v="Computers"/>
    <x v="2"/>
    <x v="2"/>
    <s v="Ahmedabad"/>
    <n v="208000"/>
    <n v="4"/>
    <x v="1"/>
    <n v="24728.51"/>
    <x v="3"/>
    <x v="1"/>
    <n v="0.1188870673076923"/>
  </r>
  <r>
    <s v="ORD0049"/>
    <x v="43"/>
    <s v="C1001"/>
    <x v="4"/>
    <x v="1"/>
    <x v="1"/>
    <s v="Tables"/>
    <x v="2"/>
    <x v="4"/>
    <s v="Mumbai"/>
    <n v="26596.2"/>
    <n v="4"/>
    <x v="0"/>
    <n v="3063.28"/>
    <x v="3"/>
    <x v="2"/>
    <n v="0.11517735616366248"/>
  </r>
  <r>
    <s v="ORD0050"/>
    <x v="44"/>
    <s v="C1009"/>
    <x v="2"/>
    <x v="14"/>
    <x v="4"/>
    <s v="Travel"/>
    <x v="2"/>
    <x v="4"/>
    <s v="Mumbai"/>
    <n v="7196"/>
    <n v="5"/>
    <x v="1"/>
    <n v="1432.65"/>
    <x v="3"/>
    <x v="0"/>
    <n v="0.19908977209560869"/>
  </r>
  <r>
    <s v="ORD0051"/>
    <x v="45"/>
    <s v="C1011"/>
    <x v="3"/>
    <x v="6"/>
    <x v="3"/>
    <s v="Clothing"/>
    <x v="1"/>
    <x v="6"/>
    <s v="Bhubaneswar"/>
    <n v="6476.4"/>
    <n v="4"/>
    <x v="2"/>
    <n v="1491.87"/>
    <x v="2"/>
    <x v="0"/>
    <n v="0.23035482675560495"/>
  </r>
  <r>
    <s v="ORD0052"/>
    <x v="24"/>
    <s v="C1005"/>
    <x v="2"/>
    <x v="5"/>
    <x v="1"/>
    <s v="Storage"/>
    <x v="2"/>
    <x v="2"/>
    <s v="Ahmedabad"/>
    <n v="9898.2000000000007"/>
    <n v="2"/>
    <x v="2"/>
    <n v="1456.71"/>
    <x v="0"/>
    <x v="2"/>
    <n v="0.14716918227556525"/>
  </r>
  <r>
    <s v="ORD0053"/>
    <x v="46"/>
    <s v="C1010"/>
    <x v="0"/>
    <x v="2"/>
    <x v="2"/>
    <s v="Accessories"/>
    <x v="2"/>
    <x v="2"/>
    <s v="Ahmedabad"/>
    <n v="2998"/>
    <n v="2"/>
    <x v="3"/>
    <n v="488.59"/>
    <x v="2"/>
    <x v="0"/>
    <n v="0.16297198132088059"/>
  </r>
  <r>
    <s v="ORD0054"/>
    <x v="47"/>
    <s v="C1027"/>
    <x v="9"/>
    <x v="5"/>
    <x v="1"/>
    <s v="Storage"/>
    <x v="1"/>
    <x v="1"/>
    <s v="Kolkata"/>
    <n v="27495"/>
    <n v="5"/>
    <x v="3"/>
    <n v="6910.77"/>
    <x v="3"/>
    <x v="1"/>
    <n v="0.25134642662302237"/>
  </r>
  <r>
    <s v="ORD0055"/>
    <x v="27"/>
    <s v="C1025"/>
    <x v="13"/>
    <x v="8"/>
    <x v="2"/>
    <s v="Computers"/>
    <x v="3"/>
    <x v="7"/>
    <s v="Jaipur"/>
    <n v="260000"/>
    <n v="5"/>
    <x v="1"/>
    <n v="62393.14"/>
    <x v="1"/>
    <x v="1"/>
    <n v="0.23997361538461537"/>
  </r>
  <r>
    <s v="ORD0056"/>
    <x v="47"/>
    <s v="C1002"/>
    <x v="2"/>
    <x v="4"/>
    <x v="2"/>
    <s v="Mobiles"/>
    <x v="3"/>
    <x v="7"/>
    <s v="Jaipur"/>
    <n v="76497.45"/>
    <n v="3"/>
    <x v="4"/>
    <n v="17199.400000000001"/>
    <x v="3"/>
    <x v="2"/>
    <n v="0.22483625271169172"/>
  </r>
  <r>
    <s v="ORD0057"/>
    <x v="48"/>
    <s v="C1037"/>
    <x v="7"/>
    <x v="7"/>
    <x v="0"/>
    <s v="Footwear"/>
    <x v="0"/>
    <x v="8"/>
    <s v="Bengaluru"/>
    <n v="3499"/>
    <n v="1"/>
    <x v="3"/>
    <n v="729.72"/>
    <x v="1"/>
    <x v="1"/>
    <n v="0.20855101457559302"/>
  </r>
  <r>
    <s v="ORD0058"/>
    <x v="49"/>
    <s v="C1021"/>
    <x v="6"/>
    <x v="2"/>
    <x v="2"/>
    <s v="Accessories"/>
    <x v="0"/>
    <x v="5"/>
    <s v="Kochi"/>
    <n v="5396.4"/>
    <n v="4"/>
    <x v="2"/>
    <n v="795.97"/>
    <x v="3"/>
    <x v="1"/>
    <n v="0.14750018530872436"/>
  </r>
  <r>
    <s v="ORD0059"/>
    <x v="50"/>
    <s v="C1006"/>
    <x v="14"/>
    <x v="9"/>
    <x v="3"/>
    <s v="Clothing"/>
    <x v="1"/>
    <x v="6"/>
    <s v="Bhubaneswar"/>
    <n v="639.20000000000005"/>
    <n v="1"/>
    <x v="1"/>
    <n v="57.79"/>
    <x v="2"/>
    <x v="2"/>
    <n v="9.0409887359198984E-2"/>
  </r>
  <r>
    <s v="ORD0060"/>
    <x v="51"/>
    <s v="C1002"/>
    <x v="13"/>
    <x v="0"/>
    <x v="0"/>
    <s v="Fitness"/>
    <x v="0"/>
    <x v="0"/>
    <s v="Chennai"/>
    <n v="1198"/>
    <n v="2"/>
    <x v="3"/>
    <n v="244.71"/>
    <x v="1"/>
    <x v="2"/>
    <n v="0.20426544240400668"/>
  </r>
  <r>
    <s v="ORD0061"/>
    <x v="52"/>
    <s v="C1017"/>
    <x v="2"/>
    <x v="5"/>
    <x v="1"/>
    <s v="Storage"/>
    <x v="0"/>
    <x v="0"/>
    <s v="Coimbatore"/>
    <n v="8798.4"/>
    <n v="2"/>
    <x v="1"/>
    <n v="1772.43"/>
    <x v="0"/>
    <x v="2"/>
    <n v="0.20144912711402074"/>
  </r>
  <r>
    <s v="ORD0062"/>
    <x v="53"/>
    <s v="C1020"/>
    <x v="3"/>
    <x v="13"/>
    <x v="2"/>
    <s v="Accessories"/>
    <x v="0"/>
    <x v="0"/>
    <s v="Chennai"/>
    <n v="8496.6"/>
    <n v="4"/>
    <x v="4"/>
    <n v="2279.59"/>
    <x v="1"/>
    <x v="2"/>
    <n v="0.26829437657415905"/>
  </r>
  <r>
    <s v="ORD0063"/>
    <x v="54"/>
    <s v="C1020"/>
    <x v="0"/>
    <x v="7"/>
    <x v="0"/>
    <s v="Footwear"/>
    <x v="2"/>
    <x v="4"/>
    <s v="Mumbai"/>
    <n v="17495"/>
    <n v="5"/>
    <x v="3"/>
    <n v="4185.6000000000004"/>
    <x v="0"/>
    <x v="1"/>
    <n v="0.23924549871391829"/>
  </r>
  <r>
    <s v="ORD0064"/>
    <x v="55"/>
    <s v="C1033"/>
    <x v="1"/>
    <x v="14"/>
    <x v="4"/>
    <s v="Travel"/>
    <x v="1"/>
    <x v="6"/>
    <s v="Bhubaneswar"/>
    <n v="5397"/>
    <n v="3"/>
    <x v="3"/>
    <n v="1348.79"/>
    <x v="3"/>
    <x v="2"/>
    <n v="0.2499147674634056"/>
  </r>
  <r>
    <s v="ORD0065"/>
    <x v="56"/>
    <s v="C1010"/>
    <x v="0"/>
    <x v="1"/>
    <x v="1"/>
    <s v="Tables"/>
    <x v="3"/>
    <x v="7"/>
    <s v="Jaipur"/>
    <n v="11198.4"/>
    <n v="2"/>
    <x v="1"/>
    <n v="3058.22"/>
    <x v="2"/>
    <x v="0"/>
    <n v="0.27309437062437492"/>
  </r>
  <r>
    <s v="ORD0066"/>
    <x v="57"/>
    <s v="C1038"/>
    <x v="6"/>
    <x v="9"/>
    <x v="3"/>
    <s v="Clothing"/>
    <x v="1"/>
    <x v="6"/>
    <s v="Bhubaneswar"/>
    <n v="2277.15"/>
    <n v="3"/>
    <x v="0"/>
    <n v="560.51"/>
    <x v="0"/>
    <x v="1"/>
    <n v="0.24614540104955754"/>
  </r>
  <r>
    <s v="ORD0067"/>
    <x v="58"/>
    <s v="C1030"/>
    <x v="13"/>
    <x v="10"/>
    <x v="3"/>
    <s v="Clothing"/>
    <x v="1"/>
    <x v="1"/>
    <s v="Kolkata"/>
    <n v="12745.75"/>
    <n v="5"/>
    <x v="4"/>
    <n v="1877.19"/>
    <x v="3"/>
    <x v="1"/>
    <n v="0.14727968146244827"/>
  </r>
  <r>
    <s v="ORD0068"/>
    <x v="59"/>
    <s v="C1017"/>
    <x v="5"/>
    <x v="2"/>
    <x v="2"/>
    <s v="Accessories"/>
    <x v="1"/>
    <x v="1"/>
    <s v="Kolkata"/>
    <n v="3597.6"/>
    <n v="3"/>
    <x v="1"/>
    <n v="792.32"/>
    <x v="2"/>
    <x v="0"/>
    <n v="0.22023571269735381"/>
  </r>
  <r>
    <s v="ORD0069"/>
    <x v="14"/>
    <s v="C1027"/>
    <x v="9"/>
    <x v="8"/>
    <x v="2"/>
    <s v="Computers"/>
    <x v="2"/>
    <x v="4"/>
    <s v="Mumbai"/>
    <n v="308750"/>
    <n v="5"/>
    <x v="0"/>
    <n v="67345.13"/>
    <x v="3"/>
    <x v="1"/>
    <n v="0.21812187854251014"/>
  </r>
  <r>
    <s v="ORD0070"/>
    <x v="60"/>
    <s v="C1015"/>
    <x v="11"/>
    <x v="9"/>
    <x v="3"/>
    <s v="Clothing"/>
    <x v="0"/>
    <x v="0"/>
    <s v="Chennai"/>
    <n v="1438.2"/>
    <n v="2"/>
    <x v="2"/>
    <n v="306.04000000000002"/>
    <x v="2"/>
    <x v="1"/>
    <n v="0.21279376999026561"/>
  </r>
  <r>
    <s v="ORD0071"/>
    <x v="61"/>
    <s v="C1036"/>
    <x v="0"/>
    <x v="14"/>
    <x v="4"/>
    <s v="Travel"/>
    <x v="3"/>
    <x v="7"/>
    <s v="Jaipur"/>
    <n v="4587.45"/>
    <n v="3"/>
    <x v="4"/>
    <n v="615.55999999999995"/>
    <x v="2"/>
    <x v="2"/>
    <n v="0.13418347883900641"/>
  </r>
  <r>
    <s v="ORD0072"/>
    <x v="16"/>
    <s v="C1035"/>
    <x v="1"/>
    <x v="11"/>
    <x v="2"/>
    <s v="Accessories"/>
    <x v="2"/>
    <x v="2"/>
    <s v="Ahmedabad"/>
    <n v="1708.1"/>
    <n v="2"/>
    <x v="0"/>
    <n v="210.57"/>
    <x v="3"/>
    <x v="1"/>
    <n v="0.12327732568350799"/>
  </r>
  <r>
    <s v="ORD0073"/>
    <x v="62"/>
    <s v="C1013"/>
    <x v="14"/>
    <x v="3"/>
    <x v="0"/>
    <s v="Fitness"/>
    <x v="3"/>
    <x v="3"/>
    <s v="New Delhi"/>
    <n v="1798.2"/>
    <n v="2"/>
    <x v="2"/>
    <n v="208.39"/>
    <x v="0"/>
    <x v="0"/>
    <n v="0.11588811033255476"/>
  </r>
  <r>
    <s v="ORD0074"/>
    <x v="63"/>
    <s v="C1004"/>
    <x v="10"/>
    <x v="14"/>
    <x v="4"/>
    <s v="Travel"/>
    <x v="2"/>
    <x v="2"/>
    <s v="Ahmedabad"/>
    <n v="5127.1499999999996"/>
    <n v="3"/>
    <x v="0"/>
    <n v="1064.26"/>
    <x v="3"/>
    <x v="2"/>
    <n v="0.20757340822874307"/>
  </r>
  <r>
    <s v="ORD0075"/>
    <x v="64"/>
    <s v="C1031"/>
    <x v="2"/>
    <x v="6"/>
    <x v="3"/>
    <s v="Clothing"/>
    <x v="0"/>
    <x v="5"/>
    <s v="Kochi"/>
    <n v="5127.1499999999996"/>
    <n v="3"/>
    <x v="0"/>
    <n v="1400.22"/>
    <x v="2"/>
    <x v="1"/>
    <n v="0.27309909013779587"/>
  </r>
  <r>
    <s v="ORD0076"/>
    <x v="65"/>
    <s v="C1005"/>
    <x v="2"/>
    <x v="11"/>
    <x v="2"/>
    <s v="Accessories"/>
    <x v="0"/>
    <x v="8"/>
    <s v="Bengaluru"/>
    <n v="854.05"/>
    <n v="1"/>
    <x v="0"/>
    <n v="93.81"/>
    <x v="2"/>
    <x v="2"/>
    <n v="0.10984134418359581"/>
  </r>
  <r>
    <s v="ORD0077"/>
    <x v="66"/>
    <s v="C1039"/>
    <x v="7"/>
    <x v="4"/>
    <x v="2"/>
    <s v="Mobiles"/>
    <x v="0"/>
    <x v="8"/>
    <s v="Bengaluru"/>
    <n v="47998.400000000001"/>
    <n v="2"/>
    <x v="1"/>
    <n v="7491.38"/>
    <x v="3"/>
    <x v="1"/>
    <n v="0.15607561918730625"/>
  </r>
  <r>
    <s v="ORD0078"/>
    <x v="67"/>
    <s v="C1040"/>
    <x v="7"/>
    <x v="6"/>
    <x v="3"/>
    <s v="Clothing"/>
    <x v="1"/>
    <x v="6"/>
    <s v="Bhubaneswar"/>
    <n v="8995"/>
    <n v="5"/>
    <x v="3"/>
    <n v="2424.31"/>
    <x v="1"/>
    <x v="0"/>
    <n v="0.26951750972762645"/>
  </r>
  <r>
    <s v="ORD0079"/>
    <x v="68"/>
    <s v="C1016"/>
    <x v="12"/>
    <x v="4"/>
    <x v="2"/>
    <s v="Mobiles"/>
    <x v="3"/>
    <x v="3"/>
    <s v="New Delhi"/>
    <n v="149995"/>
    <n v="5"/>
    <x v="3"/>
    <n v="16695.419999999998"/>
    <x v="3"/>
    <x v="1"/>
    <n v="0.11130651021700722"/>
  </r>
  <r>
    <s v="ORD0080"/>
    <x v="69"/>
    <s v="C1015"/>
    <x v="10"/>
    <x v="3"/>
    <x v="0"/>
    <s v="Fitness"/>
    <x v="1"/>
    <x v="6"/>
    <s v="Bhubaneswar"/>
    <n v="2547.4499999999998"/>
    <n v="3"/>
    <x v="4"/>
    <n v="240.06"/>
    <x v="1"/>
    <x v="1"/>
    <n v="9.4235411882470713E-2"/>
  </r>
  <r>
    <s v="ORD0081"/>
    <x v="70"/>
    <s v="C1035"/>
    <x v="1"/>
    <x v="9"/>
    <x v="3"/>
    <s v="Clothing"/>
    <x v="2"/>
    <x v="2"/>
    <s v="Ahmedabad"/>
    <n v="1438.2"/>
    <n v="2"/>
    <x v="2"/>
    <n v="352.83"/>
    <x v="0"/>
    <x v="2"/>
    <n v="0.24532749269920731"/>
  </r>
  <r>
    <s v="ORD0082"/>
    <x v="71"/>
    <s v="C1008"/>
    <x v="2"/>
    <x v="2"/>
    <x v="2"/>
    <s v="Accessories"/>
    <x v="3"/>
    <x v="7"/>
    <s v="Jaipur"/>
    <n v="3822.45"/>
    <n v="3"/>
    <x v="4"/>
    <n v="1026.46"/>
    <x v="3"/>
    <x v="1"/>
    <n v="0.26853457860796087"/>
  </r>
  <r>
    <s v="ORD0083"/>
    <x v="72"/>
    <s v="C1021"/>
    <x v="0"/>
    <x v="11"/>
    <x v="2"/>
    <s v="Accessories"/>
    <x v="0"/>
    <x v="8"/>
    <s v="Bengaluru"/>
    <n v="2697"/>
    <n v="3"/>
    <x v="3"/>
    <n v="265.02"/>
    <x v="0"/>
    <x v="0"/>
    <n v="9.8264738598442702E-2"/>
  </r>
  <r>
    <s v="ORD0084"/>
    <x v="50"/>
    <s v="C1012"/>
    <x v="13"/>
    <x v="6"/>
    <x v="3"/>
    <s v="Clothing"/>
    <x v="3"/>
    <x v="3"/>
    <s v="New Delhi"/>
    <n v="7645.75"/>
    <n v="5"/>
    <x v="4"/>
    <n v="2012.47"/>
    <x v="1"/>
    <x v="0"/>
    <n v="0.26321420396952555"/>
  </r>
  <r>
    <s v="ORD0085"/>
    <x v="73"/>
    <s v="C1023"/>
    <x v="2"/>
    <x v="1"/>
    <x v="1"/>
    <s v="Tables"/>
    <x v="1"/>
    <x v="1"/>
    <s v="Kolkata"/>
    <n v="18897.3"/>
    <n v="3"/>
    <x v="2"/>
    <n v="4044.53"/>
    <x v="1"/>
    <x v="1"/>
    <n v="0.21402687156366254"/>
  </r>
  <r>
    <s v="ORD0086"/>
    <x v="74"/>
    <s v="C1026"/>
    <x v="4"/>
    <x v="1"/>
    <x v="1"/>
    <s v="Tables"/>
    <x v="1"/>
    <x v="6"/>
    <s v="Bhubaneswar"/>
    <n v="5949.15"/>
    <n v="1"/>
    <x v="4"/>
    <n v="580.71"/>
    <x v="2"/>
    <x v="1"/>
    <n v="9.7612263936864938E-2"/>
  </r>
  <r>
    <s v="ORD0087"/>
    <x v="75"/>
    <s v="C1035"/>
    <x v="4"/>
    <x v="11"/>
    <x v="2"/>
    <s v="Accessories"/>
    <x v="1"/>
    <x v="1"/>
    <s v="Kolkata"/>
    <n v="3596"/>
    <n v="4"/>
    <x v="3"/>
    <n v="422.59"/>
    <x v="2"/>
    <x v="0"/>
    <n v="0.11751668520578419"/>
  </r>
  <r>
    <s v="ORD0088"/>
    <x v="76"/>
    <s v="C1004"/>
    <x v="13"/>
    <x v="9"/>
    <x v="3"/>
    <s v="Clothing"/>
    <x v="1"/>
    <x v="6"/>
    <s v="Bhubaneswar"/>
    <n v="1917.6"/>
    <n v="3"/>
    <x v="1"/>
    <n v="203.65"/>
    <x v="2"/>
    <x v="1"/>
    <n v="0.10620045890696705"/>
  </r>
  <r>
    <s v="ORD0089"/>
    <x v="77"/>
    <s v="C1039"/>
    <x v="10"/>
    <x v="10"/>
    <x v="3"/>
    <s v="Clothing"/>
    <x v="1"/>
    <x v="1"/>
    <s v="Kolkata"/>
    <n v="5398.2"/>
    <n v="2"/>
    <x v="2"/>
    <n v="1026.56"/>
    <x v="3"/>
    <x v="2"/>
    <n v="0.19016709273461524"/>
  </r>
  <r>
    <s v="ORD0090"/>
    <x v="78"/>
    <s v="C1010"/>
    <x v="1"/>
    <x v="4"/>
    <x v="2"/>
    <s v="Mobiles"/>
    <x v="0"/>
    <x v="8"/>
    <s v="Bengaluru"/>
    <n v="71997.600000000006"/>
    <n v="3"/>
    <x v="1"/>
    <n v="15917.4"/>
    <x v="3"/>
    <x v="1"/>
    <n v="0.22108236941231371"/>
  </r>
  <r>
    <s v="ORD0091"/>
    <x v="79"/>
    <s v="C1010"/>
    <x v="8"/>
    <x v="5"/>
    <x v="1"/>
    <s v="Storage"/>
    <x v="2"/>
    <x v="2"/>
    <s v="Ahmedabad"/>
    <n v="8798.4"/>
    <n v="2"/>
    <x v="1"/>
    <n v="1598.21"/>
    <x v="1"/>
    <x v="2"/>
    <n v="0.18164779959992727"/>
  </r>
  <r>
    <s v="ORD0092"/>
    <x v="12"/>
    <s v="C1033"/>
    <x v="3"/>
    <x v="13"/>
    <x v="2"/>
    <s v="Accessories"/>
    <x v="1"/>
    <x v="6"/>
    <s v="Bhubaneswar"/>
    <n v="2249.1"/>
    <n v="1"/>
    <x v="2"/>
    <n v="506.52"/>
    <x v="3"/>
    <x v="2"/>
    <n v="0.22521008403361345"/>
  </r>
  <r>
    <s v="ORD0093"/>
    <x v="80"/>
    <s v="C1036"/>
    <x v="5"/>
    <x v="5"/>
    <x v="1"/>
    <s v="Storage"/>
    <x v="1"/>
    <x v="6"/>
    <s v="Bhubaneswar"/>
    <n v="18696.599999999999"/>
    <n v="4"/>
    <x v="4"/>
    <n v="4983.96"/>
    <x v="1"/>
    <x v="0"/>
    <n v="0.26657039247777675"/>
  </r>
  <r>
    <s v="ORD0094"/>
    <x v="81"/>
    <s v="C1027"/>
    <x v="14"/>
    <x v="4"/>
    <x v="2"/>
    <s v="Mobiles"/>
    <x v="1"/>
    <x v="1"/>
    <s v="Kolkata"/>
    <n v="76497.45"/>
    <n v="3"/>
    <x v="4"/>
    <n v="16909.419999999998"/>
    <x v="3"/>
    <x v="1"/>
    <n v="0.22104553811924449"/>
  </r>
  <r>
    <s v="ORD0095"/>
    <x v="82"/>
    <s v="C1009"/>
    <x v="10"/>
    <x v="0"/>
    <x v="0"/>
    <s v="Fitness"/>
    <x v="2"/>
    <x v="2"/>
    <s v="Ahmedabad"/>
    <n v="2695.5"/>
    <n v="5"/>
    <x v="2"/>
    <n v="684.5"/>
    <x v="3"/>
    <x v="2"/>
    <n v="0.25394175477647934"/>
  </r>
  <r>
    <s v="ORD0096"/>
    <x v="73"/>
    <s v="C1010"/>
    <x v="0"/>
    <x v="14"/>
    <x v="4"/>
    <s v="Travel"/>
    <x v="1"/>
    <x v="1"/>
    <s v="Kolkata"/>
    <n v="3598"/>
    <n v="2"/>
    <x v="3"/>
    <n v="625.69000000000005"/>
    <x v="2"/>
    <x v="1"/>
    <n v="0.17389938854919401"/>
  </r>
  <r>
    <s v="ORD0097"/>
    <x v="83"/>
    <s v="C1022"/>
    <x v="14"/>
    <x v="7"/>
    <x v="0"/>
    <s v="Footwear"/>
    <x v="1"/>
    <x v="1"/>
    <s v="Kolkata"/>
    <n v="14870.75"/>
    <n v="5"/>
    <x v="4"/>
    <n v="4027.41"/>
    <x v="3"/>
    <x v="0"/>
    <n v="0.27082763142410438"/>
  </r>
  <r>
    <s v="ORD0098"/>
    <x v="84"/>
    <s v="C1019"/>
    <x v="4"/>
    <x v="8"/>
    <x v="2"/>
    <s v="Computers"/>
    <x v="0"/>
    <x v="0"/>
    <s v="Coimbatore"/>
    <n v="55250"/>
    <n v="1"/>
    <x v="4"/>
    <n v="15230.63"/>
    <x v="0"/>
    <x v="1"/>
    <n v="0.27566751131221717"/>
  </r>
  <r>
    <s v="ORD0099"/>
    <x v="85"/>
    <s v="C1021"/>
    <x v="10"/>
    <x v="2"/>
    <x v="2"/>
    <s v="Accessories"/>
    <x v="3"/>
    <x v="3"/>
    <s v="New Delhi"/>
    <n v="4047.3"/>
    <n v="3"/>
    <x v="2"/>
    <n v="627.20000000000005"/>
    <x v="1"/>
    <x v="2"/>
    <n v="0.15496750920366664"/>
  </r>
  <r>
    <s v="ORD0100"/>
    <x v="4"/>
    <s v="C1012"/>
    <x v="12"/>
    <x v="14"/>
    <x v="4"/>
    <s v="Travel"/>
    <x v="1"/>
    <x v="1"/>
    <s v="Kolkata"/>
    <n v="7645.75"/>
    <n v="5"/>
    <x v="4"/>
    <n v="1559.29"/>
    <x v="1"/>
    <x v="1"/>
    <n v="0.203942059313997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399F3-2E79-47B3-A826-475E9B9B54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A3:B9"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items count="5">
        <item x="1"/>
        <item x="3"/>
        <item x="0"/>
        <item x="2"/>
        <item t="default"/>
      </items>
    </pivotField>
    <pivotField showAll="0"/>
    <pivotField showAll="0"/>
    <pivotField dataField="1" numFmtId="165" showAll="0"/>
    <pivotField numFmtId="2" showAll="0"/>
    <pivotField numFmtId="10" showAll="0"/>
    <pivotField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5"/>
  </rowFields>
  <rowItems count="6">
    <i>
      <x v="1"/>
    </i>
    <i>
      <x v="3"/>
    </i>
    <i>
      <x v="2"/>
    </i>
    <i>
      <x v="4"/>
    </i>
    <i>
      <x/>
    </i>
    <i t="grand">
      <x/>
    </i>
  </rowItems>
  <colItems count="1">
    <i/>
  </colItems>
  <dataFields count="1">
    <dataField name="Sum of Sales" fld="10" baseField="0" baseItem="0" numFmtId="165"/>
  </dataFields>
  <chartFormats count="3">
    <chartFormat chart="3"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3D7237-7093-4EC9-98F5-BF102ACECA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A3:B8"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2" showAll="0"/>
    <pivotField numFmtId="10" showAll="0"/>
    <pivotField numFmtId="165"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7"/>
  </rowFields>
  <rowItems count="5">
    <i>
      <x v="3"/>
    </i>
    <i>
      <x v="1"/>
    </i>
    <i>
      <x v="2"/>
    </i>
    <i>
      <x/>
    </i>
    <i t="grand">
      <x/>
    </i>
  </rowItems>
  <colItems count="1">
    <i/>
  </colItems>
  <dataFields count="1">
    <dataField name="Sum of Sales" fld="10" baseField="0" baseItem="0" numFmtId="165"/>
  </dataFields>
  <chartFormats count="2">
    <chartFormat chart="3" format="1"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D8F420-B6A8-4E0D-9D3F-362B3212BD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B9"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pivotField showAll="0">
      <items count="5">
        <item x="1"/>
        <item x="3"/>
        <item x="0"/>
        <item x="2"/>
        <item t="default"/>
      </items>
    </pivotField>
    <pivotField showAll="0"/>
    <pivotField showAll="0"/>
    <pivotField numFmtId="165" showAll="0"/>
    <pivotField numFmtId="2" showAll="0"/>
    <pivotField numFmtId="10" showAll="0"/>
    <pivotField dataField="1"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5"/>
  </rowFields>
  <rowItems count="6">
    <i>
      <x v="1"/>
    </i>
    <i>
      <x v="3"/>
    </i>
    <i>
      <x v="2"/>
    </i>
    <i>
      <x v="4"/>
    </i>
    <i>
      <x/>
    </i>
    <i t="grand">
      <x/>
    </i>
  </rowItems>
  <colItems count="1">
    <i/>
  </colItems>
  <dataFields count="1">
    <dataField name="Sum of Profit"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269D52-5258-49A4-9DAF-F96CD9CDBF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ayment_Mode">
  <location ref="A3:B8"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showAll="0">
      <items count="5">
        <item x="1"/>
        <item x="3"/>
        <item x="0"/>
        <item x="2"/>
        <item t="default"/>
      </items>
    </pivotField>
    <pivotField showAll="0"/>
    <pivotField showAll="0"/>
    <pivotField dataField="1" numFmtId="165" showAll="0"/>
    <pivotField numFmtId="2" showAll="0"/>
    <pivotField numFmtId="10" showAll="0"/>
    <pivotField numFmtId="165"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14"/>
  </rowFields>
  <rowItems count="5">
    <i>
      <x/>
    </i>
    <i>
      <x v="1"/>
    </i>
    <i>
      <x v="3"/>
    </i>
    <i>
      <x v="2"/>
    </i>
    <i t="grand">
      <x/>
    </i>
  </rowItems>
  <colItems count="1">
    <i/>
  </colItems>
  <dataFields count="1">
    <dataField name="Sum of Sales" fld="10" baseField="0" baseItem="0" numFmtId="165"/>
  </dataFields>
  <chartFormats count="15">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 chart="9" format="4">
      <pivotArea type="data" outline="0" fieldPosition="0">
        <references count="2">
          <reference field="4294967294" count="1" selected="0">
            <x v="0"/>
          </reference>
          <reference field="14" count="1" selected="0">
            <x v="3"/>
          </reference>
        </references>
      </pivotArea>
    </chartFormat>
    <chartFormat chart="9" format="5">
      <pivotArea type="data" outline="0" fieldPosition="0">
        <references count="2">
          <reference field="4294967294" count="1" selected="0">
            <x v="0"/>
          </reference>
          <reference field="14" count="1" selected="0">
            <x v="2"/>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14" count="1" selected="0">
            <x v="0"/>
          </reference>
        </references>
      </pivotArea>
    </chartFormat>
    <chartFormat chart="14" format="3">
      <pivotArea type="data" outline="0" fieldPosition="0">
        <references count="2">
          <reference field="4294967294" count="1" selected="0">
            <x v="0"/>
          </reference>
          <reference field="14" count="1" selected="0">
            <x v="1"/>
          </reference>
        </references>
      </pivotArea>
    </chartFormat>
    <chartFormat chart="14" format="4">
      <pivotArea type="data" outline="0" fieldPosition="0">
        <references count="2">
          <reference field="4294967294" count="1" selected="0">
            <x v="0"/>
          </reference>
          <reference field="14" count="1" selected="0">
            <x v="3"/>
          </reference>
        </references>
      </pivotArea>
    </chartFormat>
    <chartFormat chart="14" format="5">
      <pivotArea type="data" outline="0" fieldPosition="0">
        <references count="2">
          <reference field="4294967294" count="1" selected="0">
            <x v="0"/>
          </reference>
          <reference field="14" count="1" selected="0">
            <x v="2"/>
          </reference>
        </references>
      </pivotArea>
    </chartFormat>
    <chartFormat chart="16" format="11" series="1">
      <pivotArea type="data" outline="0" fieldPosition="0">
        <references count="1">
          <reference field="4294967294" count="1" selected="0">
            <x v="0"/>
          </reference>
        </references>
      </pivotArea>
    </chartFormat>
    <chartFormat chart="16" format="12">
      <pivotArea type="data" outline="0" fieldPosition="0">
        <references count="2">
          <reference field="4294967294" count="1" selected="0">
            <x v="0"/>
          </reference>
          <reference field="14" count="1" selected="0">
            <x v="0"/>
          </reference>
        </references>
      </pivotArea>
    </chartFormat>
    <chartFormat chart="16" format="13">
      <pivotArea type="data" outline="0" fieldPosition="0">
        <references count="2">
          <reference field="4294967294" count="1" selected="0">
            <x v="0"/>
          </reference>
          <reference field="14" count="1" selected="0">
            <x v="1"/>
          </reference>
        </references>
      </pivotArea>
    </chartFormat>
    <chartFormat chart="16" format="14">
      <pivotArea type="data" outline="0" fieldPosition="0">
        <references count="2">
          <reference field="4294967294" count="1" selected="0">
            <x v="0"/>
          </reference>
          <reference field="14" count="1" selected="0">
            <x v="3"/>
          </reference>
        </references>
      </pivotArea>
    </chartFormat>
    <chartFormat chart="16"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F540EE-DB11-42EB-BD36-A5F7585F00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Product">
  <location ref="A3:B19"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axis="axisRow" showAll="0" sortType="descending">
      <items count="16">
        <item x="14"/>
        <item x="5"/>
        <item x="1"/>
        <item x="13"/>
        <item x="10"/>
        <item x="6"/>
        <item x="2"/>
        <item x="8"/>
        <item x="12"/>
        <item x="7"/>
        <item x="4"/>
        <item x="9"/>
        <item x="0"/>
        <item x="11"/>
        <item x="3"/>
        <item t="default"/>
      </items>
      <autoSortScope>
        <pivotArea dataOnly="0" outline="0" fieldPosition="0">
          <references count="1">
            <reference field="4294967294" count="1" selected="0">
              <x v="0"/>
            </reference>
          </references>
        </pivotArea>
      </autoSortScope>
    </pivotField>
    <pivotField showAll="0">
      <items count="6">
        <item x="4"/>
        <item x="2"/>
        <item x="3"/>
        <item x="1"/>
        <item x="0"/>
        <item t="default"/>
      </items>
    </pivotField>
    <pivotField showAll="0"/>
    <pivotField showAll="0">
      <items count="5">
        <item x="1"/>
        <item x="3"/>
        <item x="0"/>
        <item x="2"/>
        <item t="default"/>
      </items>
    </pivotField>
    <pivotField showAll="0"/>
    <pivotField showAll="0"/>
    <pivotField dataField="1" numFmtId="165" showAll="0"/>
    <pivotField numFmtId="2" showAll="0"/>
    <pivotField numFmtId="10" showAll="0"/>
    <pivotField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4"/>
  </rowFields>
  <rowItems count="16">
    <i>
      <x v="7"/>
    </i>
    <i>
      <x v="10"/>
    </i>
    <i>
      <x v="2"/>
    </i>
    <i>
      <x v="1"/>
    </i>
    <i>
      <x v="5"/>
    </i>
    <i>
      <x v="9"/>
    </i>
    <i>
      <x v="4"/>
    </i>
    <i>
      <x/>
    </i>
    <i>
      <x v="6"/>
    </i>
    <i>
      <x v="8"/>
    </i>
    <i>
      <x v="3"/>
    </i>
    <i>
      <x v="14"/>
    </i>
    <i>
      <x v="13"/>
    </i>
    <i>
      <x v="12"/>
    </i>
    <i>
      <x v="11"/>
    </i>
    <i t="grand">
      <x/>
    </i>
  </rowItems>
  <colItems count="1">
    <i/>
  </colItems>
  <dataFields count="1">
    <dataField name="Sum of Sales" fld="10" baseField="0" baseItem="0" numFmtId="165"/>
  </dataFields>
  <chartFormats count="3">
    <chartFormat chart="11" format="1"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1C93ED-76CE-4674-8EB3-AC11BBB8CF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B13"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showAll="0">
      <items count="5">
        <item x="1"/>
        <item x="3"/>
        <item x="0"/>
        <item x="2"/>
        <item t="default"/>
      </items>
    </pivotField>
    <pivotField axis="axisRow" showAll="0" sortType="descending">
      <items count="10">
        <item x="3"/>
        <item x="2"/>
        <item x="8"/>
        <item x="5"/>
        <item x="4"/>
        <item x="6"/>
        <item x="7"/>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2" showAll="0"/>
    <pivotField numFmtId="10" showAll="0"/>
    <pivotField dataField="1"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8"/>
  </rowFields>
  <rowItems count="10">
    <i>
      <x v="4"/>
    </i>
    <i>
      <x v="6"/>
    </i>
    <i>
      <x v="1"/>
    </i>
    <i>
      <x v="5"/>
    </i>
    <i>
      <x/>
    </i>
    <i>
      <x v="7"/>
    </i>
    <i>
      <x v="8"/>
    </i>
    <i>
      <x v="3"/>
    </i>
    <i>
      <x v="2"/>
    </i>
    <i t="grand">
      <x/>
    </i>
  </rowItems>
  <colItems count="1">
    <i/>
  </colItems>
  <dataFields count="1">
    <dataField name="Sum of Profit"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DC5207-9C1B-4ED3-8F7D-1608BF929DD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ping_Mode">
  <location ref="A3:B7"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showAll="0">
      <items count="5">
        <item x="1"/>
        <item x="3"/>
        <item x="0"/>
        <item x="2"/>
        <item t="default"/>
      </items>
    </pivotField>
    <pivotField showAll="0"/>
    <pivotField showAll="0"/>
    <pivotField dataField="1" numFmtId="165" showAll="0"/>
    <pivotField numFmtId="2" showAll="0"/>
    <pivotField numFmtId="10" showAll="0"/>
    <pivotField numFmtId="165" showAll="0"/>
    <pivotField showAll="0">
      <items count="5">
        <item x="3"/>
        <item x="1"/>
        <item x="2"/>
        <item x="0"/>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0" showAll="0"/>
    <pivotField showAll="0">
      <items count="15">
        <item x="0"/>
        <item x="1"/>
        <item x="2"/>
        <item x="3"/>
        <item x="4"/>
        <item x="5"/>
        <item x="6"/>
        <item x="7"/>
        <item x="8"/>
        <item x="9"/>
        <item x="10"/>
        <item x="11"/>
        <item x="12"/>
        <item x="13"/>
        <item t="default"/>
      </items>
    </pivotField>
  </pivotFields>
  <rowFields count="1">
    <field x="15"/>
  </rowFields>
  <rowItems count="4">
    <i>
      <x/>
    </i>
    <i>
      <x v="1"/>
    </i>
    <i>
      <x v="2"/>
    </i>
    <i t="grand">
      <x/>
    </i>
  </rowItems>
  <colItems count="1">
    <i/>
  </colItems>
  <dataFields count="1">
    <dataField name="Sum of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5FCAD2-FCBC-41A6-8176-D46F133E630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A3:B19"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axis="axisRow" showAll="0" sortType="descending">
      <items count="16">
        <item x="8"/>
        <item x="10"/>
        <item x="1"/>
        <item x="4"/>
        <item x="12"/>
        <item x="13"/>
        <item x="6"/>
        <item x="14"/>
        <item x="3"/>
        <item x="0"/>
        <item x="11"/>
        <item x="5"/>
        <item x="2"/>
        <item x="9"/>
        <item x="7"/>
        <item t="default"/>
      </items>
      <autoSortScope>
        <pivotArea dataOnly="0" outline="0" fieldPosition="0">
          <references count="1">
            <reference field="4294967294" count="1" selected="0">
              <x v="0"/>
            </reference>
          </references>
        </pivotArea>
      </autoSortScope>
    </pivotField>
    <pivotField showAll="0"/>
    <pivotField showAll="0">
      <items count="6">
        <item x="4"/>
        <item x="2"/>
        <item x="3"/>
        <item x="1"/>
        <item x="0"/>
        <item t="default"/>
      </items>
    </pivotField>
    <pivotField showAll="0"/>
    <pivotField showAll="0">
      <items count="5">
        <item x="1"/>
        <item x="3"/>
        <item x="0"/>
        <item x="2"/>
        <item t="default"/>
      </items>
    </pivotField>
    <pivotField showAll="0"/>
    <pivotField showAll="0"/>
    <pivotField dataField="1" numFmtId="165" showAll="0"/>
    <pivotField numFmtId="2" showAll="0"/>
    <pivotField numFmtId="10" showAll="0"/>
    <pivotField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3"/>
  </rowFields>
  <rowItems count="16">
    <i>
      <x v="13"/>
    </i>
    <i>
      <x v="2"/>
    </i>
    <i>
      <x v="5"/>
    </i>
    <i>
      <x v="14"/>
    </i>
    <i>
      <x v="11"/>
    </i>
    <i>
      <x v="3"/>
    </i>
    <i>
      <x v="8"/>
    </i>
    <i>
      <x v="12"/>
    </i>
    <i>
      <x/>
    </i>
    <i>
      <x v="4"/>
    </i>
    <i>
      <x v="7"/>
    </i>
    <i>
      <x v="9"/>
    </i>
    <i>
      <x v="1"/>
    </i>
    <i>
      <x v="6"/>
    </i>
    <i>
      <x v="10"/>
    </i>
    <i t="grand">
      <x/>
    </i>
  </rowItems>
  <colItems count="1">
    <i/>
  </colItems>
  <dataFields count="1">
    <dataField name="Sum of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118BEE-389D-4521-8D5F-6FE3948BD1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3:B8"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2" showAll="0"/>
    <pivotField numFmtId="10" showAll="0"/>
    <pivotField dataField="1" numFmtId="165" showAll="0"/>
    <pivotField showAll="0"/>
    <pivotField showAll="0"/>
    <pivotField numFmtId="10" showAll="0"/>
    <pivotField showAll="0">
      <items count="15">
        <item x="0"/>
        <item x="1"/>
        <item x="2"/>
        <item x="3"/>
        <item x="4"/>
        <item x="5"/>
        <item x="6"/>
        <item x="7"/>
        <item x="8"/>
        <item x="9"/>
        <item x="10"/>
        <item x="11"/>
        <item x="12"/>
        <item x="13"/>
        <item t="default"/>
      </items>
    </pivotField>
  </pivotFields>
  <rowFields count="1">
    <field x="7"/>
  </rowFields>
  <rowItems count="5">
    <i>
      <x v="3"/>
    </i>
    <i>
      <x v="1"/>
    </i>
    <i>
      <x v="2"/>
    </i>
    <i>
      <x/>
    </i>
    <i t="grand">
      <x/>
    </i>
  </rowItems>
  <colItems count="1">
    <i/>
  </colItems>
  <dataFields count="1">
    <dataField name="Sum of Profit"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DF21A-982B-4EB3-B4DF-9DEEC45AD39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Discount">
  <location ref="A3:B9"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showAll="0">
      <items count="5">
        <item x="1"/>
        <item x="3"/>
        <item x="0"/>
        <item x="2"/>
        <item t="default"/>
      </items>
    </pivotField>
    <pivotField showAll="0"/>
    <pivotField showAll="0"/>
    <pivotField numFmtId="165" showAll="0"/>
    <pivotField numFmtId="2" showAll="0"/>
    <pivotField axis="axisRow" numFmtId="10" showAll="0">
      <items count="6">
        <item x="3"/>
        <item x="0"/>
        <item x="2"/>
        <item x="4"/>
        <item x="1"/>
        <item t="default"/>
      </items>
    </pivotField>
    <pivotField dataField="1"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12"/>
  </rowFields>
  <rowItems count="6">
    <i>
      <x/>
    </i>
    <i>
      <x v="1"/>
    </i>
    <i>
      <x v="2"/>
    </i>
    <i>
      <x v="3"/>
    </i>
    <i>
      <x v="4"/>
    </i>
    <i t="grand">
      <x/>
    </i>
  </rowItems>
  <colItems count="1">
    <i/>
  </colItems>
  <dataFields count="1">
    <dataField name="Sum of Profit" fld="13" baseField="0" baseItem="0" numFmtId="165"/>
  </dataFields>
  <chartFormats count="1">
    <chartFormat chart="1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802684-E515-46AA-BC66-098D46B1FF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3:F10" firstHeaderRow="1" firstDataRow="2"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axis="axisRow" showAll="0">
      <items count="6">
        <item x="4"/>
        <item x="2"/>
        <item x="3"/>
        <item x="1"/>
        <item x="0"/>
        <item t="default"/>
      </items>
    </pivotField>
    <pivotField showAll="0"/>
    <pivotField axis="axisCol" showAll="0">
      <items count="5">
        <item x="1"/>
        <item x="3"/>
        <item x="0"/>
        <item x="2"/>
        <item t="default"/>
      </items>
    </pivotField>
    <pivotField showAll="0"/>
    <pivotField showAll="0"/>
    <pivotField dataField="1" numFmtId="165" showAll="0"/>
    <pivotField numFmtId="2" showAll="0"/>
    <pivotField numFmtId="10" showAll="0"/>
    <pivotField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Fields count="1">
    <field x="7"/>
  </colFields>
  <colItems count="5">
    <i>
      <x/>
    </i>
    <i>
      <x v="1"/>
    </i>
    <i>
      <x v="2"/>
    </i>
    <i>
      <x v="3"/>
    </i>
    <i t="grand">
      <x/>
    </i>
  </colItems>
  <dataFields count="1">
    <dataField name="Sum of Sales"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D5F51E2-9F1F-4290-8E89-1DC906895A4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location ref="A3:B19" firstHeaderRow="1" firstDataRow="1" firstDataCol="1"/>
  <pivotFields count="18">
    <pivotField dataField="1"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axis="axisRow" showAll="0" sortType="descending">
      <items count="16">
        <item x="8"/>
        <item x="10"/>
        <item x="1"/>
        <item x="4"/>
        <item x="12"/>
        <item x="13"/>
        <item x="6"/>
        <item x="14"/>
        <item x="3"/>
        <item x="0"/>
        <item x="11"/>
        <item x="5"/>
        <item x="2"/>
        <item x="9"/>
        <item x="7"/>
        <item t="default"/>
      </items>
      <autoSortScope>
        <pivotArea dataOnly="0" outline="0" fieldPosition="0">
          <references count="1">
            <reference field="4294967294" count="1" selected="0">
              <x v="0"/>
            </reference>
          </references>
        </pivotArea>
      </autoSortScope>
    </pivotField>
    <pivotField showAll="0"/>
    <pivotField showAll="0">
      <items count="6">
        <item x="4"/>
        <item x="2"/>
        <item x="3"/>
        <item x="1"/>
        <item x="0"/>
        <item t="default"/>
      </items>
    </pivotField>
    <pivotField showAll="0"/>
    <pivotField showAll="0">
      <items count="5">
        <item x="1"/>
        <item x="3"/>
        <item x="0"/>
        <item x="2"/>
        <item t="default"/>
      </items>
    </pivotField>
    <pivotField showAll="0"/>
    <pivotField showAll="0"/>
    <pivotField numFmtId="165" showAll="0"/>
    <pivotField numFmtId="2" showAll="0"/>
    <pivotField numFmtId="10" showAll="0"/>
    <pivotField numFmtId="165" showAll="0"/>
    <pivotField showAll="0">
      <items count="5">
        <item x="3"/>
        <item x="1"/>
        <item x="2"/>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s>
  <rowFields count="1">
    <field x="3"/>
  </rowFields>
  <rowItems count="16">
    <i>
      <x v="12"/>
    </i>
    <i>
      <x v="2"/>
    </i>
    <i>
      <x v="14"/>
    </i>
    <i>
      <x v="1"/>
    </i>
    <i>
      <x v="9"/>
    </i>
    <i>
      <x v="3"/>
    </i>
    <i>
      <x v="8"/>
    </i>
    <i>
      <x v="13"/>
    </i>
    <i>
      <x v="11"/>
    </i>
    <i>
      <x v="5"/>
    </i>
    <i>
      <x v="6"/>
    </i>
    <i>
      <x/>
    </i>
    <i>
      <x v="7"/>
    </i>
    <i>
      <x v="4"/>
    </i>
    <i>
      <x v="10"/>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DBEA4A-C437-4433-B8CF-30447C0225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Month">
  <location ref="A3:B16" firstHeaderRow="1" firstDataRow="1" firstDataCol="1"/>
  <pivotFields count="18">
    <pivotField showAll="0"/>
    <pivotField numFmtId="164" showAll="0">
      <items count="87">
        <item x="81"/>
        <item x="85"/>
        <item x="67"/>
        <item x="17"/>
        <item x="8"/>
        <item x="15"/>
        <item x="22"/>
        <item x="4"/>
        <item x="43"/>
        <item x="21"/>
        <item x="37"/>
        <item x="19"/>
        <item x="10"/>
        <item x="9"/>
        <item x="68"/>
        <item x="36"/>
        <item x="26"/>
        <item x="76"/>
        <item x="6"/>
        <item x="49"/>
        <item x="70"/>
        <item x="84"/>
        <item x="18"/>
        <item x="1"/>
        <item x="77"/>
        <item x="0"/>
        <item x="51"/>
        <item x="30"/>
        <item x="12"/>
        <item x="57"/>
        <item x="7"/>
        <item x="2"/>
        <item x="24"/>
        <item x="69"/>
        <item x="5"/>
        <item x="62"/>
        <item x="39"/>
        <item x="33"/>
        <item x="38"/>
        <item x="61"/>
        <item x="32"/>
        <item x="59"/>
        <item x="20"/>
        <item x="52"/>
        <item x="3"/>
        <item x="79"/>
        <item x="11"/>
        <item x="47"/>
        <item x="60"/>
        <item x="34"/>
        <item x="73"/>
        <item x="27"/>
        <item x="56"/>
        <item x="64"/>
        <item x="40"/>
        <item x="42"/>
        <item x="35"/>
        <item x="75"/>
        <item x="44"/>
        <item x="71"/>
        <item x="50"/>
        <item x="45"/>
        <item x="23"/>
        <item x="14"/>
        <item x="78"/>
        <item x="82"/>
        <item x="31"/>
        <item x="28"/>
        <item x="25"/>
        <item x="80"/>
        <item x="74"/>
        <item x="63"/>
        <item x="58"/>
        <item x="53"/>
        <item x="65"/>
        <item x="72"/>
        <item x="66"/>
        <item x="13"/>
        <item x="55"/>
        <item x="48"/>
        <item x="41"/>
        <item x="83"/>
        <item x="54"/>
        <item x="16"/>
        <item x="29"/>
        <item x="46"/>
        <item t="default"/>
      </items>
    </pivotField>
    <pivotField showAll="0"/>
    <pivotField showAll="0"/>
    <pivotField showAll="0"/>
    <pivotField showAll="0">
      <items count="6">
        <item x="4"/>
        <item x="2"/>
        <item x="3"/>
        <item x="1"/>
        <item x="0"/>
        <item t="default"/>
      </items>
    </pivotField>
    <pivotField showAll="0"/>
    <pivotField showAll="0">
      <items count="5">
        <item x="1"/>
        <item x="3"/>
        <item x="0"/>
        <item x="2"/>
        <item t="default"/>
      </items>
    </pivotField>
    <pivotField showAll="0"/>
    <pivotField showAll="0"/>
    <pivotField dataField="1" numFmtId="165" showAll="0"/>
    <pivotField numFmtId="2" showAll="0"/>
    <pivotField numFmtId="10" showAll="0"/>
    <pivotField numFmtId="165" showAll="0"/>
    <pivotField showAll="0">
      <items count="5">
        <item x="3"/>
        <item x="1"/>
        <item x="2"/>
        <item x="0"/>
        <item t="default"/>
      </items>
    </pivotField>
    <pivotField showAll="0"/>
    <pivotField numFmtId="10" showAll="0"/>
    <pivotField axis="axisRow" showAll="0">
      <items count="15">
        <item x="0"/>
        <item x="1"/>
        <item x="2"/>
        <item x="3"/>
        <item x="4"/>
        <item x="5"/>
        <item x="6"/>
        <item x="7"/>
        <item x="8"/>
        <item x="9"/>
        <item x="10"/>
        <item x="11"/>
        <item x="12"/>
        <item x="13"/>
        <item t="default"/>
      </items>
    </pivotField>
  </pivotFields>
  <rowFields count="1">
    <field x="17"/>
  </rowFields>
  <rowItems count="13">
    <i>
      <x v="1"/>
    </i>
    <i>
      <x v="2"/>
    </i>
    <i>
      <x v="3"/>
    </i>
    <i>
      <x v="4"/>
    </i>
    <i>
      <x v="5"/>
    </i>
    <i>
      <x v="6"/>
    </i>
    <i>
      <x v="7"/>
    </i>
    <i>
      <x v="8"/>
    </i>
    <i>
      <x v="9"/>
    </i>
    <i>
      <x v="10"/>
    </i>
    <i>
      <x v="11"/>
    </i>
    <i>
      <x v="12"/>
    </i>
    <i t="grand">
      <x/>
    </i>
  </rowItems>
  <colItems count="1">
    <i/>
  </colItems>
  <dataFields count="1">
    <dataField name="Sum of Sales" fld="10" baseField="0" baseItem="0" numFmtId="165"/>
  </dataFields>
  <chartFormats count="3">
    <chartFormat chart="11"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78BBAF-2DCB-43E6-BA02-DB0604350DFE}" sourceName="Region">
  <pivotTables>
    <pivotTable tabId="11" name="PivotTable9"/>
    <pivotTable tabId="13" name="PivotTable11"/>
    <pivotTable tabId="4" name="PivotTable3"/>
    <pivotTable tabId="2" name="PivotTable1"/>
    <pivotTable tabId="14" name="PivotTable12"/>
    <pivotTable tabId="10" name="PivotTable8"/>
    <pivotTable tabId="12" name="PivotTable10"/>
    <pivotTable tabId="5" name="PivotTable4"/>
    <pivotTable tabId="6" name="PivotTable5"/>
    <pivotTable tabId="3" name="PivotTable2"/>
    <pivotTable tabId="18" name="PivotTable1"/>
    <pivotTable tabId="8" name="PivotTable7"/>
    <pivotTable tabId="7" name="PivotTable6"/>
  </pivotTables>
  <data>
    <tabular pivotCacheId="1445574701">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C3148B-6781-4202-BF3D-AE65B34C5898}" sourceName="Category">
  <pivotTables>
    <pivotTable tabId="13" name="PivotTable11"/>
    <pivotTable tabId="4" name="PivotTable3"/>
    <pivotTable tabId="2" name="PivotTable1"/>
    <pivotTable tabId="14" name="PivotTable12"/>
    <pivotTable tabId="10" name="PivotTable8"/>
    <pivotTable tabId="12" name="PivotTable10"/>
    <pivotTable tabId="5" name="PivotTable4"/>
    <pivotTable tabId="6" name="PivotTable5"/>
    <pivotTable tabId="3" name="PivotTable2"/>
    <pivotTable tabId="11" name="PivotTable9"/>
    <pivotTable tabId="18" name="PivotTable1"/>
    <pivotTable tabId="8" name="PivotTable7"/>
    <pivotTable tabId="7" name="PivotTable6"/>
  </pivotTables>
  <data>
    <tabular pivotCacheId="1445574701">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06807EB-5982-4EC9-BD87-D14C304B93A3}" sourceName="Payment_Mode">
  <pivotTables>
    <pivotTable tabId="5" name="PivotTable4"/>
    <pivotTable tabId="13" name="PivotTable11"/>
    <pivotTable tabId="4" name="PivotTable3"/>
    <pivotTable tabId="2" name="PivotTable1"/>
    <pivotTable tabId="14" name="PivotTable12"/>
    <pivotTable tabId="10" name="PivotTable8"/>
    <pivotTable tabId="12" name="PivotTable10"/>
    <pivotTable tabId="6" name="PivotTable5"/>
    <pivotTable tabId="18" name="PivotTable1"/>
    <pivotTable tabId="8" name="PivotTable7"/>
    <pivotTable tabId="7" name="PivotTable6"/>
  </pivotTables>
  <data>
    <tabular pivotCacheId="144557470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D11B425-7961-4D1F-8486-2C19867F1659}" sourceName="Order_Date">
  <pivotTables>
    <pivotTable tabId="18" name="PivotTable1"/>
    <pivotTable tabId="13" name="PivotTable11"/>
    <pivotTable tabId="4" name="PivotTable3"/>
    <pivotTable tabId="2" name="PivotTable1"/>
    <pivotTable tabId="14" name="PivotTable12"/>
    <pivotTable tabId="10" name="PivotTable8"/>
    <pivotTable tabId="12" name="PivotTable10"/>
    <pivotTable tabId="5" name="PivotTable4"/>
    <pivotTable tabId="6" name="PivotTable5"/>
    <pivotTable tabId="3" name="PivotTable2"/>
    <pivotTable tabId="11" name="PivotTable9"/>
    <pivotTable tabId="8" name="PivotTable7"/>
    <pivotTable tabId="7" name="PivotTable6"/>
  </pivotTables>
  <data>
    <tabular pivotCacheId="1445574701">
      <items count="86">
        <i x="81" s="1"/>
        <i x="85" s="1"/>
        <i x="67" s="1"/>
        <i x="17" s="1"/>
        <i x="8" s="1"/>
        <i x="15" s="1"/>
        <i x="22" s="1"/>
        <i x="4" s="1"/>
        <i x="43" s="1"/>
        <i x="21" s="1"/>
        <i x="37" s="1"/>
        <i x="19" s="1"/>
        <i x="10" s="1"/>
        <i x="9" s="1"/>
        <i x="68" s="1"/>
        <i x="36" s="1"/>
        <i x="26" s="1"/>
        <i x="76" s="1"/>
        <i x="6" s="1"/>
        <i x="49" s="1"/>
        <i x="70" s="1"/>
        <i x="84" s="1"/>
        <i x="18" s="1"/>
        <i x="1" s="1"/>
        <i x="77" s="1"/>
        <i x="0" s="1"/>
        <i x="51" s="1"/>
        <i x="30" s="1"/>
        <i x="12" s="1"/>
        <i x="57" s="1"/>
        <i x="7" s="1"/>
        <i x="2" s="1"/>
        <i x="24" s="1"/>
        <i x="69" s="1"/>
        <i x="5" s="1"/>
        <i x="62" s="1"/>
        <i x="39" s="1"/>
        <i x="33" s="1"/>
        <i x="38" s="1"/>
        <i x="61" s="1"/>
        <i x="32" s="1"/>
        <i x="59" s="1"/>
        <i x="20" s="1"/>
        <i x="52" s="1"/>
        <i x="3" s="1"/>
        <i x="79" s="1"/>
        <i x="11" s="1"/>
        <i x="47" s="1"/>
        <i x="60" s="1"/>
        <i x="34" s="1"/>
        <i x="73" s="1"/>
        <i x="27" s="1"/>
        <i x="56" s="1"/>
        <i x="64" s="1"/>
        <i x="40" s="1"/>
        <i x="42" s="1"/>
        <i x="35" s="1"/>
        <i x="75" s="1"/>
        <i x="44" s="1"/>
        <i x="71" s="1"/>
        <i x="50" s="1"/>
        <i x="45" s="1"/>
        <i x="23" s="1"/>
        <i x="14" s="1"/>
        <i x="78" s="1"/>
        <i x="82" s="1"/>
        <i x="31" s="1"/>
        <i x="28" s="1"/>
        <i x="25" s="1"/>
        <i x="80" s="1"/>
        <i x="74" s="1"/>
        <i x="63" s="1"/>
        <i x="58" s="1"/>
        <i x="53" s="1"/>
        <i x="65" s="1"/>
        <i x="72" s="1"/>
        <i x="66" s="1"/>
        <i x="13" s="1"/>
        <i x="55" s="1"/>
        <i x="48" s="1"/>
        <i x="41" s="1"/>
        <i x="83" s="1"/>
        <i x="54" s="1"/>
        <i x="16" s="1"/>
        <i x="29" s="1"/>
        <i x="4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B59C06B-FFEC-4194-BEB9-D0317B78B43E}" cache="Slicer_Region" caption="Region" rowHeight="241300"/>
  <slicer name="Category" xr10:uid="{E2A6E995-5800-4819-8041-185163DB4DD8}" cache="Slicer_Category" caption="Category" rowHeight="241300"/>
  <slicer name="Payment_Mode" xr10:uid="{445A34B2-D0F7-43D8-8526-CFCAA808CFD2}" cache="Slicer_Payment_Mode" caption="Payment_Mode" rowHeight="241300"/>
  <slicer name="Order_Date" xr10:uid="{D2F05078-3F9F-4140-84D1-C4B941516AE9}" cache="Slicer_Order_Date" caption="Order_Date"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855440-9CED-4BD0-8645-F978A307A0DE}" name="Sales_Data" displayName="Sales_Data" ref="A1:Q101" totalsRowShown="0" headerRowBorderDxfId="7" tableBorderDxfId="6">
  <autoFilter ref="A1:Q101" xr:uid="{BC855440-9CED-4BD0-8645-F978A307A0DE}"/>
  <tableColumns count="17">
    <tableColumn id="1" xr3:uid="{41786FB5-4C4D-4ABB-9FF3-5B83F8CE7D54}" name="Order_ID"/>
    <tableColumn id="2" xr3:uid="{38B8828B-23F4-40FF-86A6-90739F1604F2}" name="Order_Date" dataDxfId="5"/>
    <tableColumn id="3" xr3:uid="{C174B9BB-FE88-4385-AB6C-705FEB661F63}" name="Customer_ID"/>
    <tableColumn id="4" xr3:uid="{C2966A7F-86A8-4430-8CA0-144D287BF8DE}" name="Customer_Name"/>
    <tableColumn id="5" xr3:uid="{7FDED574-CB44-4352-98B6-0F0BEE922E5C}" name="Product"/>
    <tableColumn id="6" xr3:uid="{F49F8F2C-6E0D-42E8-A079-C93E1452EE2B}" name="Category"/>
    <tableColumn id="7" xr3:uid="{A54DD020-D250-4C47-8449-6B5790C691F6}" name="Sub_Category"/>
    <tableColumn id="8" xr3:uid="{6BA843D3-A750-4581-B5F3-82982AB7C2A0}" name="Region"/>
    <tableColumn id="9" xr3:uid="{130CCA32-BB97-4FB2-96E3-A9DAE0AD2A85}" name="State"/>
    <tableColumn id="10" xr3:uid="{6929AB80-7773-4CD8-B9E2-AE311BDD768D}" name="City"/>
    <tableColumn id="11" xr3:uid="{2A4F2E4C-94BA-43E3-AE28-2C96F1B7B8B2}" name="Sales" dataDxfId="4"/>
    <tableColumn id="12" xr3:uid="{100D0D5B-8C6E-4C03-83CE-E752FF0B22A7}" name="Quantity" dataDxfId="3"/>
    <tableColumn id="13" xr3:uid="{DEDAAC45-BCEA-41A7-A35E-73433192E37B}" name="Discount" dataDxfId="2"/>
    <tableColumn id="14" xr3:uid="{04C03D77-72E0-4519-836F-73671202A9E4}" name="Profit" dataDxfId="1"/>
    <tableColumn id="15" xr3:uid="{97DA16A0-FF45-43C5-A534-8DBC6FA20D83}" name="Payment_Mode"/>
    <tableColumn id="16" xr3:uid="{17F847BF-69D3-4721-96E5-F7F126E586EA}" name="Shipping_Mode"/>
    <tableColumn id="17" xr3:uid="{1D479E57-C8D6-4C40-8B95-CC6A8712CE3A}" name="Profit_Margin" dataDxfId="0">
      <calculatedColumnFormula>Sales_Data[[#This Row],[Profit]]/Sales_Data[[#This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94D8-898A-4335-BBA6-85062C0CE084}">
  <dimension ref="A3:B9"/>
  <sheetViews>
    <sheetView workbookViewId="0">
      <selection activeCell="A3" sqref="A3:B9"/>
    </sheetView>
  </sheetViews>
  <sheetFormatPr defaultRowHeight="15" x14ac:dyDescent="0.25"/>
  <cols>
    <col min="1" max="1" width="11.28515625" bestFit="1" customWidth="1"/>
    <col min="2" max="2" width="13.42578125" bestFit="1" customWidth="1"/>
  </cols>
  <sheetData>
    <row r="3" spans="1:2" x14ac:dyDescent="0.25">
      <c r="A3" s="11" t="s">
        <v>5</v>
      </c>
      <c r="B3" t="s">
        <v>231</v>
      </c>
    </row>
    <row r="4" spans="1:2" x14ac:dyDescent="0.25">
      <c r="A4" s="12" t="s">
        <v>186</v>
      </c>
      <c r="B4" s="2">
        <v>2664680.5499999998</v>
      </c>
    </row>
    <row r="5" spans="1:2" x14ac:dyDescent="0.25">
      <c r="A5" s="12" t="s">
        <v>185</v>
      </c>
      <c r="B5" s="2">
        <v>257284.8</v>
      </c>
    </row>
    <row r="6" spans="1:2" x14ac:dyDescent="0.25">
      <c r="A6" s="12" t="s">
        <v>187</v>
      </c>
      <c r="B6" s="2">
        <v>108251.9</v>
      </c>
    </row>
    <row r="7" spans="1:2" x14ac:dyDescent="0.25">
      <c r="A7" s="12" t="s">
        <v>184</v>
      </c>
      <c r="B7" s="2">
        <v>82085.45</v>
      </c>
    </row>
    <row r="8" spans="1:2" x14ac:dyDescent="0.25">
      <c r="A8" s="12" t="s">
        <v>188</v>
      </c>
      <c r="B8" s="2">
        <v>38948.35</v>
      </c>
    </row>
    <row r="9" spans="1:2" x14ac:dyDescent="0.25">
      <c r="A9" s="12" t="s">
        <v>230</v>
      </c>
      <c r="B9" s="2">
        <v>3151251.05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153EC-49F7-4776-8D56-6D6B3FBFCB59}">
  <dimension ref="H42:H100"/>
  <sheetViews>
    <sheetView workbookViewId="0">
      <selection activeCell="J94" sqref="J94"/>
    </sheetView>
  </sheetViews>
  <sheetFormatPr defaultRowHeight="15" x14ac:dyDescent="0.25"/>
  <sheetData>
    <row r="42" spans="8:8" x14ac:dyDescent="0.25">
      <c r="H42" t="s">
        <v>252</v>
      </c>
    </row>
    <row r="43" spans="8:8" x14ac:dyDescent="0.25">
      <c r="H43" t="s">
        <v>252</v>
      </c>
    </row>
    <row r="44" spans="8:8" x14ac:dyDescent="0.25">
      <c r="H44" t="s">
        <v>252</v>
      </c>
    </row>
    <row r="45" spans="8:8" x14ac:dyDescent="0.25">
      <c r="H45" t="s">
        <v>252</v>
      </c>
    </row>
    <row r="46" spans="8:8" x14ac:dyDescent="0.25">
      <c r="H46" t="s">
        <v>252</v>
      </c>
    </row>
    <row r="47" spans="8:8" x14ac:dyDescent="0.25">
      <c r="H47" t="s">
        <v>252</v>
      </c>
    </row>
    <row r="48" spans="8:8" x14ac:dyDescent="0.25">
      <c r="H48" t="s">
        <v>252</v>
      </c>
    </row>
    <row r="49" spans="8:8" x14ac:dyDescent="0.25">
      <c r="H49" t="s">
        <v>252</v>
      </c>
    </row>
    <row r="50" spans="8:8" x14ac:dyDescent="0.25">
      <c r="H50" t="s">
        <v>252</v>
      </c>
    </row>
    <row r="51" spans="8:8" x14ac:dyDescent="0.25">
      <c r="H51" t="s">
        <v>252</v>
      </c>
    </row>
    <row r="52" spans="8:8" x14ac:dyDescent="0.25">
      <c r="H52" t="s">
        <v>252</v>
      </c>
    </row>
    <row r="53" spans="8:8" x14ac:dyDescent="0.25">
      <c r="H53" t="s">
        <v>252</v>
      </c>
    </row>
    <row r="54" spans="8:8" x14ac:dyDescent="0.25">
      <c r="H54" t="s">
        <v>252</v>
      </c>
    </row>
    <row r="55" spans="8:8" x14ac:dyDescent="0.25">
      <c r="H55" t="s">
        <v>252</v>
      </c>
    </row>
    <row r="56" spans="8:8" x14ac:dyDescent="0.25">
      <c r="H56" t="s">
        <v>252</v>
      </c>
    </row>
    <row r="57" spans="8:8" x14ac:dyDescent="0.25">
      <c r="H57" t="s">
        <v>252</v>
      </c>
    </row>
    <row r="58" spans="8:8" x14ac:dyDescent="0.25">
      <c r="H58" t="s">
        <v>252</v>
      </c>
    </row>
    <row r="59" spans="8:8" x14ac:dyDescent="0.25">
      <c r="H59" t="s">
        <v>252</v>
      </c>
    </row>
    <row r="60" spans="8:8" x14ac:dyDescent="0.25">
      <c r="H60" t="s">
        <v>252</v>
      </c>
    </row>
    <row r="61" spans="8:8" x14ac:dyDescent="0.25">
      <c r="H61" t="s">
        <v>252</v>
      </c>
    </row>
    <row r="62" spans="8:8" x14ac:dyDescent="0.25">
      <c r="H62" t="s">
        <v>252</v>
      </c>
    </row>
    <row r="63" spans="8:8" x14ac:dyDescent="0.25">
      <c r="H63" t="s">
        <v>252</v>
      </c>
    </row>
    <row r="64" spans="8:8" x14ac:dyDescent="0.25">
      <c r="H64" t="s">
        <v>252</v>
      </c>
    </row>
    <row r="65" spans="8:8" x14ac:dyDescent="0.25">
      <c r="H65" t="s">
        <v>252</v>
      </c>
    </row>
    <row r="66" spans="8:8" x14ac:dyDescent="0.25">
      <c r="H66" t="s">
        <v>252</v>
      </c>
    </row>
    <row r="67" spans="8:8" x14ac:dyDescent="0.25">
      <c r="H67" t="s">
        <v>252</v>
      </c>
    </row>
    <row r="68" spans="8:8" x14ac:dyDescent="0.25">
      <c r="H68" t="s">
        <v>252</v>
      </c>
    </row>
    <row r="69" spans="8:8" x14ac:dyDescent="0.25">
      <c r="H69" t="s">
        <v>252</v>
      </c>
    </row>
    <row r="70" spans="8:8" x14ac:dyDescent="0.25">
      <c r="H70" t="s">
        <v>252</v>
      </c>
    </row>
    <row r="71" spans="8:8" x14ac:dyDescent="0.25">
      <c r="H71" t="s">
        <v>252</v>
      </c>
    </row>
    <row r="72" spans="8:8" x14ac:dyDescent="0.25">
      <c r="H72" t="s">
        <v>252</v>
      </c>
    </row>
    <row r="73" spans="8:8" x14ac:dyDescent="0.25">
      <c r="H73" t="s">
        <v>252</v>
      </c>
    </row>
    <row r="74" spans="8:8" x14ac:dyDescent="0.25">
      <c r="H74" t="s">
        <v>252</v>
      </c>
    </row>
    <row r="75" spans="8:8" x14ac:dyDescent="0.25">
      <c r="H75" t="s">
        <v>252</v>
      </c>
    </row>
    <row r="76" spans="8:8" x14ac:dyDescent="0.25">
      <c r="H76" t="s">
        <v>252</v>
      </c>
    </row>
    <row r="77" spans="8:8" x14ac:dyDescent="0.25">
      <c r="H77" t="s">
        <v>252</v>
      </c>
    </row>
    <row r="78" spans="8:8" x14ac:dyDescent="0.25">
      <c r="H78" t="s">
        <v>252</v>
      </c>
    </row>
    <row r="79" spans="8:8" x14ac:dyDescent="0.25">
      <c r="H79" t="s">
        <v>252</v>
      </c>
    </row>
    <row r="80" spans="8:8" x14ac:dyDescent="0.25">
      <c r="H80" t="s">
        <v>252</v>
      </c>
    </row>
    <row r="81" spans="8:8" x14ac:dyDescent="0.25">
      <c r="H81" t="s">
        <v>252</v>
      </c>
    </row>
    <row r="82" spans="8:8" x14ac:dyDescent="0.25">
      <c r="H82" t="s">
        <v>252</v>
      </c>
    </row>
    <row r="83" spans="8:8" x14ac:dyDescent="0.25">
      <c r="H83" t="s">
        <v>252</v>
      </c>
    </row>
    <row r="84" spans="8:8" x14ac:dyDescent="0.25">
      <c r="H84" t="s">
        <v>252</v>
      </c>
    </row>
    <row r="85" spans="8:8" x14ac:dyDescent="0.25">
      <c r="H85" t="s">
        <v>252</v>
      </c>
    </row>
    <row r="86" spans="8:8" x14ac:dyDescent="0.25">
      <c r="H86" t="s">
        <v>252</v>
      </c>
    </row>
    <row r="87" spans="8:8" x14ac:dyDescent="0.25">
      <c r="H87" t="s">
        <v>252</v>
      </c>
    </row>
    <row r="88" spans="8:8" x14ac:dyDescent="0.25">
      <c r="H88" t="s">
        <v>252</v>
      </c>
    </row>
    <row r="89" spans="8:8" x14ac:dyDescent="0.25">
      <c r="H89" t="s">
        <v>252</v>
      </c>
    </row>
    <row r="90" spans="8:8" x14ac:dyDescent="0.25">
      <c r="H90" t="s">
        <v>252</v>
      </c>
    </row>
    <row r="91" spans="8:8" x14ac:dyDescent="0.25">
      <c r="H91" t="s">
        <v>252</v>
      </c>
    </row>
    <row r="92" spans="8:8" x14ac:dyDescent="0.25">
      <c r="H92" t="s">
        <v>252</v>
      </c>
    </row>
    <row r="93" spans="8:8" x14ac:dyDescent="0.25">
      <c r="H93" t="s">
        <v>252</v>
      </c>
    </row>
    <row r="94" spans="8:8" x14ac:dyDescent="0.25">
      <c r="H94" t="s">
        <v>252</v>
      </c>
    </row>
    <row r="95" spans="8:8" x14ac:dyDescent="0.25">
      <c r="H95" t="s">
        <v>252</v>
      </c>
    </row>
    <row r="96" spans="8:8" x14ac:dyDescent="0.25">
      <c r="H96" t="s">
        <v>252</v>
      </c>
    </row>
    <row r="97" spans="8:8" x14ac:dyDescent="0.25">
      <c r="H97" t="s">
        <v>252</v>
      </c>
    </row>
    <row r="98" spans="8:8" x14ac:dyDescent="0.25">
      <c r="H98" t="s">
        <v>252</v>
      </c>
    </row>
    <row r="99" spans="8:8" x14ac:dyDescent="0.25">
      <c r="H99" t="s">
        <v>252</v>
      </c>
    </row>
    <row r="100" spans="8:8" x14ac:dyDescent="0.25">
      <c r="H100" t="s">
        <v>252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0C342-6EFC-41C6-B8BF-268D8948F874}">
  <dimension ref="A3:B8"/>
  <sheetViews>
    <sheetView topLeftCell="AO1" workbookViewId="0">
      <selection activeCell="A4" sqref="A4"/>
    </sheetView>
  </sheetViews>
  <sheetFormatPr defaultRowHeight="15" x14ac:dyDescent="0.25"/>
  <cols>
    <col min="1" max="1" width="11.28515625" bestFit="1" customWidth="1"/>
    <col min="2" max="2" width="13.42578125" bestFit="1" customWidth="1"/>
  </cols>
  <sheetData>
    <row r="3" spans="1:2" x14ac:dyDescent="0.25">
      <c r="A3" s="11" t="s">
        <v>7</v>
      </c>
      <c r="B3" t="s">
        <v>231</v>
      </c>
    </row>
    <row r="4" spans="1:2" x14ac:dyDescent="0.25">
      <c r="A4" s="12" t="s">
        <v>201</v>
      </c>
      <c r="B4" s="2">
        <v>1147560.7999999998</v>
      </c>
    </row>
    <row r="5" spans="1:2" x14ac:dyDescent="0.25">
      <c r="A5" s="12" t="s">
        <v>202</v>
      </c>
      <c r="B5" s="2">
        <v>891357.19999999984</v>
      </c>
    </row>
    <row r="6" spans="1:2" x14ac:dyDescent="0.25">
      <c r="A6" s="12" t="s">
        <v>199</v>
      </c>
      <c r="B6" s="2">
        <v>591615.35000000009</v>
      </c>
    </row>
    <row r="7" spans="1:2" x14ac:dyDescent="0.25">
      <c r="A7" s="12" t="s">
        <v>200</v>
      </c>
      <c r="B7" s="2">
        <v>520717.7</v>
      </c>
    </row>
    <row r="8" spans="1:2" x14ac:dyDescent="0.25">
      <c r="A8" s="12" t="s">
        <v>230</v>
      </c>
      <c r="B8" s="2">
        <v>3151251.05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497EB-842A-4ADA-91BF-A64349380614}">
  <dimension ref="A3:B9"/>
  <sheetViews>
    <sheetView topLeftCell="P1" workbookViewId="0">
      <selection activeCell="B8" sqref="B8"/>
    </sheetView>
  </sheetViews>
  <sheetFormatPr defaultRowHeight="15" x14ac:dyDescent="0.25"/>
  <cols>
    <col min="1" max="1" width="11.28515625" bestFit="1" customWidth="1"/>
    <col min="2" max="2" width="12.5703125" bestFit="1" customWidth="1"/>
  </cols>
  <sheetData>
    <row r="3" spans="1:2" x14ac:dyDescent="0.25">
      <c r="A3" s="11" t="s">
        <v>5</v>
      </c>
      <c r="B3" t="s">
        <v>232</v>
      </c>
    </row>
    <row r="4" spans="1:2" x14ac:dyDescent="0.25">
      <c r="A4" s="12" t="s">
        <v>186</v>
      </c>
      <c r="B4" s="2">
        <v>504035.07000000018</v>
      </c>
    </row>
    <row r="5" spans="1:2" x14ac:dyDescent="0.25">
      <c r="A5" s="12" t="s">
        <v>185</v>
      </c>
      <c r="B5" s="2">
        <v>47971.92</v>
      </c>
    </row>
    <row r="6" spans="1:2" x14ac:dyDescent="0.25">
      <c r="A6" s="12" t="s">
        <v>187</v>
      </c>
      <c r="B6" s="2">
        <v>21512.200000000008</v>
      </c>
    </row>
    <row r="7" spans="1:2" x14ac:dyDescent="0.25">
      <c r="A7" s="12" t="s">
        <v>184</v>
      </c>
      <c r="B7" s="2">
        <v>15983.42</v>
      </c>
    </row>
    <row r="8" spans="1:2" x14ac:dyDescent="0.25">
      <c r="A8" s="12" t="s">
        <v>188</v>
      </c>
      <c r="B8" s="2">
        <v>8048.3</v>
      </c>
    </row>
    <row r="9" spans="1:2" x14ac:dyDescent="0.25">
      <c r="A9" s="12" t="s">
        <v>230</v>
      </c>
      <c r="B9" s="2">
        <v>597550.91000000027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23BA3-B6AF-4C60-9E51-961547046E1E}">
  <dimension ref="A3:B8"/>
  <sheetViews>
    <sheetView workbookViewId="0">
      <selection activeCell="B4" sqref="B4"/>
    </sheetView>
  </sheetViews>
  <sheetFormatPr defaultRowHeight="15" x14ac:dyDescent="0.25"/>
  <cols>
    <col min="1" max="1" width="17.5703125" bestFit="1" customWidth="1"/>
    <col min="2" max="2" width="13.42578125" bestFit="1" customWidth="1"/>
  </cols>
  <sheetData>
    <row r="3" spans="1:2" x14ac:dyDescent="0.25">
      <c r="A3" s="11" t="s">
        <v>14</v>
      </c>
      <c r="B3" t="s">
        <v>231</v>
      </c>
    </row>
    <row r="4" spans="1:2" x14ac:dyDescent="0.25">
      <c r="A4" s="12" t="s">
        <v>225</v>
      </c>
      <c r="B4" s="2">
        <v>1938489.4499999995</v>
      </c>
    </row>
    <row r="5" spans="1:2" x14ac:dyDescent="0.25">
      <c r="A5" s="12" t="s">
        <v>223</v>
      </c>
      <c r="B5" s="2">
        <v>788757.15</v>
      </c>
    </row>
    <row r="6" spans="1:2" x14ac:dyDescent="0.25">
      <c r="A6" s="12" t="s">
        <v>222</v>
      </c>
      <c r="B6" s="2">
        <v>345622.85000000009</v>
      </c>
    </row>
    <row r="7" spans="1:2" x14ac:dyDescent="0.25">
      <c r="A7" s="12" t="s">
        <v>224</v>
      </c>
      <c r="B7" s="2">
        <v>78381.600000000006</v>
      </c>
    </row>
    <row r="8" spans="1:2" x14ac:dyDescent="0.25">
      <c r="A8" s="12" t="s">
        <v>230</v>
      </c>
      <c r="B8" s="2">
        <v>3151251.05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20111-E48A-4CAE-9289-6C8FDCB3C475}">
  <dimension ref="A3:B19"/>
  <sheetViews>
    <sheetView topLeftCell="A2" workbookViewId="0">
      <selection activeCell="N21" sqref="N21"/>
    </sheetView>
  </sheetViews>
  <sheetFormatPr defaultRowHeight="15" x14ac:dyDescent="0.25"/>
  <cols>
    <col min="1" max="1" width="15.28515625" bestFit="1" customWidth="1"/>
    <col min="2" max="2" width="13.42578125" bestFit="1" customWidth="1"/>
  </cols>
  <sheetData>
    <row r="3" spans="1:2" x14ac:dyDescent="0.25">
      <c r="A3" s="11" t="s">
        <v>4</v>
      </c>
      <c r="B3" t="s">
        <v>231</v>
      </c>
    </row>
    <row r="4" spans="1:2" x14ac:dyDescent="0.25">
      <c r="A4" s="12" t="s">
        <v>177</v>
      </c>
      <c r="B4" s="2">
        <v>1680250</v>
      </c>
    </row>
    <row r="5" spans="1:2" x14ac:dyDescent="0.25">
      <c r="A5" s="12" t="s">
        <v>173</v>
      </c>
      <c r="B5" s="2">
        <v>920969.29999999993</v>
      </c>
    </row>
    <row r="6" spans="1:2" x14ac:dyDescent="0.25">
      <c r="A6" s="12" t="s">
        <v>170</v>
      </c>
      <c r="B6" s="2">
        <v>129831.44999999998</v>
      </c>
    </row>
    <row r="7" spans="1:2" x14ac:dyDescent="0.25">
      <c r="A7" s="12" t="s">
        <v>174</v>
      </c>
      <c r="B7" s="2">
        <v>105855.75</v>
      </c>
    </row>
    <row r="8" spans="1:2" x14ac:dyDescent="0.25">
      <c r="A8" s="12" t="s">
        <v>175</v>
      </c>
      <c r="B8" s="2">
        <v>51271.5</v>
      </c>
    </row>
    <row r="9" spans="1:2" x14ac:dyDescent="0.25">
      <c r="A9" s="12" t="s">
        <v>176</v>
      </c>
      <c r="B9" s="2">
        <v>50735.5</v>
      </c>
    </row>
    <row r="10" spans="1:2" x14ac:dyDescent="0.25">
      <c r="A10" s="12" t="s">
        <v>179</v>
      </c>
      <c r="B10" s="2">
        <v>45434.85</v>
      </c>
    </row>
    <row r="11" spans="1:2" x14ac:dyDescent="0.25">
      <c r="A11" s="12" t="s">
        <v>183</v>
      </c>
      <c r="B11" s="2">
        <v>38948.35</v>
      </c>
    </row>
    <row r="12" spans="1:2" x14ac:dyDescent="0.25">
      <c r="A12" s="12" t="s">
        <v>171</v>
      </c>
      <c r="B12" s="2">
        <v>28705.85</v>
      </c>
    </row>
    <row r="13" spans="1:2" x14ac:dyDescent="0.25">
      <c r="A13" s="12" t="s">
        <v>181</v>
      </c>
      <c r="B13" s="2">
        <v>21597.599999999999</v>
      </c>
    </row>
    <row r="14" spans="1:2" x14ac:dyDescent="0.25">
      <c r="A14" s="12" t="s">
        <v>182</v>
      </c>
      <c r="B14" s="2">
        <v>19742.099999999999</v>
      </c>
    </row>
    <row r="15" spans="1:2" x14ac:dyDescent="0.25">
      <c r="A15" s="12" t="s">
        <v>172</v>
      </c>
      <c r="B15" s="2">
        <v>18381.600000000002</v>
      </c>
    </row>
    <row r="16" spans="1:2" x14ac:dyDescent="0.25">
      <c r="A16" s="12" t="s">
        <v>180</v>
      </c>
      <c r="B16" s="2">
        <v>15013.3</v>
      </c>
    </row>
    <row r="17" spans="1:2" x14ac:dyDescent="0.25">
      <c r="A17" s="12" t="s">
        <v>169</v>
      </c>
      <c r="B17" s="2">
        <v>12968.349999999999</v>
      </c>
    </row>
    <row r="18" spans="1:2" x14ac:dyDescent="0.25">
      <c r="A18" s="12" t="s">
        <v>178</v>
      </c>
      <c r="B18" s="2">
        <v>11545.55</v>
      </c>
    </row>
    <row r="19" spans="1:2" x14ac:dyDescent="0.25">
      <c r="A19" s="12" t="s">
        <v>230</v>
      </c>
      <c r="B19" s="2">
        <v>3151251.05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D528B-B958-4BD2-BA40-C9FDF7C89918}">
  <dimension ref="A1:J17"/>
  <sheetViews>
    <sheetView workbookViewId="0">
      <selection activeCell="I10" sqref="I10:J15"/>
    </sheetView>
  </sheetViews>
  <sheetFormatPr defaultRowHeight="15" x14ac:dyDescent="0.25"/>
  <cols>
    <col min="2" max="2" width="13.42578125" bestFit="1" customWidth="1"/>
    <col min="5" max="5" width="7.140625" bestFit="1" customWidth="1"/>
    <col min="6" max="6" width="13.42578125" bestFit="1" customWidth="1"/>
    <col min="9" max="9" width="8.7109375" bestFit="1" customWidth="1"/>
    <col min="10" max="10" width="12.5703125" bestFit="1" customWidth="1"/>
  </cols>
  <sheetData>
    <row r="1" spans="1:10" x14ac:dyDescent="0.25">
      <c r="A1" s="14" t="s">
        <v>4</v>
      </c>
      <c r="B1" s="14" t="s">
        <v>231</v>
      </c>
    </row>
    <row r="2" spans="1:10" x14ac:dyDescent="0.25">
      <c r="A2" s="12" t="s">
        <v>177</v>
      </c>
      <c r="B2" s="2">
        <v>1680250</v>
      </c>
    </row>
    <row r="3" spans="1:10" x14ac:dyDescent="0.25">
      <c r="A3" s="12" t="s">
        <v>173</v>
      </c>
      <c r="B3" s="2">
        <v>920969.29999999993</v>
      </c>
    </row>
    <row r="4" spans="1:10" x14ac:dyDescent="0.25">
      <c r="A4" s="12" t="s">
        <v>170</v>
      </c>
      <c r="B4" s="2">
        <v>129831.44999999998</v>
      </c>
    </row>
    <row r="5" spans="1:10" x14ac:dyDescent="0.25">
      <c r="A5" s="12" t="s">
        <v>174</v>
      </c>
      <c r="B5" s="2">
        <v>105855.75</v>
      </c>
    </row>
    <row r="6" spans="1:10" x14ac:dyDescent="0.25">
      <c r="A6" s="12" t="s">
        <v>175</v>
      </c>
      <c r="B6" s="2">
        <v>51271.5</v>
      </c>
    </row>
    <row r="7" spans="1:10" x14ac:dyDescent="0.25">
      <c r="A7" s="12" t="s">
        <v>176</v>
      </c>
      <c r="B7" s="2">
        <v>50735.5</v>
      </c>
    </row>
    <row r="8" spans="1:10" x14ac:dyDescent="0.25">
      <c r="A8" s="12" t="s">
        <v>179</v>
      </c>
      <c r="B8" s="2">
        <v>45434.85</v>
      </c>
      <c r="E8" s="14" t="s">
        <v>8</v>
      </c>
      <c r="F8" s="14" t="s">
        <v>232</v>
      </c>
    </row>
    <row r="9" spans="1:10" x14ac:dyDescent="0.25">
      <c r="A9" s="12" t="s">
        <v>183</v>
      </c>
      <c r="B9" s="2">
        <v>38948.35</v>
      </c>
      <c r="E9" s="12" t="s">
        <v>207</v>
      </c>
      <c r="F9" s="2">
        <v>112112.84</v>
      </c>
    </row>
    <row r="10" spans="1:10" x14ac:dyDescent="0.25">
      <c r="A10" s="12" t="s">
        <v>171</v>
      </c>
      <c r="B10" s="2">
        <v>28705.85</v>
      </c>
      <c r="E10" s="12" t="s">
        <v>210</v>
      </c>
      <c r="F10" s="2">
        <v>108723.75000000001</v>
      </c>
      <c r="I10" t="s">
        <v>12</v>
      </c>
      <c r="J10" t="s">
        <v>232</v>
      </c>
    </row>
    <row r="11" spans="1:10" x14ac:dyDescent="0.25">
      <c r="A11" s="12" t="s">
        <v>181</v>
      </c>
      <c r="B11" s="2">
        <v>21597.599999999999</v>
      </c>
      <c r="E11" s="12" t="s">
        <v>205</v>
      </c>
      <c r="F11" s="2">
        <v>75202.12000000001</v>
      </c>
      <c r="I11" s="13">
        <v>0</v>
      </c>
      <c r="J11" s="2">
        <v>49780.71</v>
      </c>
    </row>
    <row r="12" spans="1:10" x14ac:dyDescent="0.25">
      <c r="A12" s="12" t="s">
        <v>182</v>
      </c>
      <c r="B12" s="2">
        <v>19742.099999999999</v>
      </c>
      <c r="E12" s="12" t="s">
        <v>209</v>
      </c>
      <c r="F12" s="2">
        <v>66756.25</v>
      </c>
      <c r="I12" s="13">
        <v>0.05</v>
      </c>
      <c r="J12" s="2">
        <v>158338.01000000004</v>
      </c>
    </row>
    <row r="13" spans="1:10" x14ac:dyDescent="0.25">
      <c r="A13" s="12" t="s">
        <v>172</v>
      </c>
      <c r="B13" s="2">
        <v>18381.600000000002</v>
      </c>
      <c r="E13" s="12" t="s">
        <v>206</v>
      </c>
      <c r="F13" s="2">
        <v>64138.47</v>
      </c>
      <c r="I13" s="13">
        <v>0.1</v>
      </c>
      <c r="J13" s="2">
        <v>58824.759999999995</v>
      </c>
    </row>
    <row r="14" spans="1:10" x14ac:dyDescent="0.25">
      <c r="A14" s="12" t="s">
        <v>180</v>
      </c>
      <c r="B14" s="2">
        <v>15013.3</v>
      </c>
      <c r="E14" s="12" t="s">
        <v>203</v>
      </c>
      <c r="F14" s="2">
        <v>62403.649999999994</v>
      </c>
      <c r="I14" s="13">
        <v>0.15</v>
      </c>
      <c r="J14" s="2">
        <v>89235.73</v>
      </c>
    </row>
    <row r="15" spans="1:10" x14ac:dyDescent="0.25">
      <c r="A15" s="12" t="s">
        <v>169</v>
      </c>
      <c r="B15" s="2">
        <v>12968.349999999999</v>
      </c>
      <c r="E15" s="12" t="s">
        <v>204</v>
      </c>
      <c r="F15" s="2">
        <v>41816.82</v>
      </c>
      <c r="I15" s="13">
        <v>0.2</v>
      </c>
      <c r="J15" s="2">
        <v>241371.69999999998</v>
      </c>
    </row>
    <row r="16" spans="1:10" x14ac:dyDescent="0.25">
      <c r="A16" s="12" t="s">
        <v>178</v>
      </c>
      <c r="B16" s="2">
        <v>11545.55</v>
      </c>
      <c r="E16" s="12" t="s">
        <v>208</v>
      </c>
      <c r="F16" s="2">
        <v>40713.980000000003</v>
      </c>
    </row>
    <row r="17" spans="5:6" x14ac:dyDescent="0.25">
      <c r="E17" s="12" t="s">
        <v>211</v>
      </c>
      <c r="F17" s="2">
        <v>25683.03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E7890-8B84-4864-8551-E6911DEAAC3F}">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01AF-7130-4A6B-8B83-477C6E4F484B}">
  <dimension ref="A1"/>
  <sheetViews>
    <sheetView showGridLines="0" zoomScaleNormal="100"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85BDE-A7BB-4E8F-AA56-536B7838246B}">
  <dimension ref="A3:B13"/>
  <sheetViews>
    <sheetView workbookViewId="0">
      <selection activeCell="A3" sqref="A3:B12"/>
    </sheetView>
  </sheetViews>
  <sheetFormatPr defaultRowHeight="15" x14ac:dyDescent="0.25"/>
  <cols>
    <col min="1" max="1" width="12" bestFit="1" customWidth="1"/>
    <col min="2" max="2" width="12.5703125" bestFit="1" customWidth="1"/>
  </cols>
  <sheetData>
    <row r="3" spans="1:2" x14ac:dyDescent="0.25">
      <c r="A3" s="11" t="s">
        <v>8</v>
      </c>
      <c r="B3" t="s">
        <v>232</v>
      </c>
    </row>
    <row r="4" spans="1:2" x14ac:dyDescent="0.25">
      <c r="A4" s="12" t="s">
        <v>207</v>
      </c>
      <c r="B4" s="2">
        <v>112112.84</v>
      </c>
    </row>
    <row r="5" spans="1:2" x14ac:dyDescent="0.25">
      <c r="A5" s="12" t="s">
        <v>210</v>
      </c>
      <c r="B5" s="2">
        <v>108723.75000000001</v>
      </c>
    </row>
    <row r="6" spans="1:2" x14ac:dyDescent="0.25">
      <c r="A6" s="12" t="s">
        <v>205</v>
      </c>
      <c r="B6" s="2">
        <v>75202.12000000001</v>
      </c>
    </row>
    <row r="7" spans="1:2" x14ac:dyDescent="0.25">
      <c r="A7" s="12" t="s">
        <v>209</v>
      </c>
      <c r="B7" s="2">
        <v>66756.25</v>
      </c>
    </row>
    <row r="8" spans="1:2" x14ac:dyDescent="0.25">
      <c r="A8" s="12" t="s">
        <v>206</v>
      </c>
      <c r="B8" s="2">
        <v>64138.47</v>
      </c>
    </row>
    <row r="9" spans="1:2" x14ac:dyDescent="0.25">
      <c r="A9" s="12" t="s">
        <v>203</v>
      </c>
      <c r="B9" s="2">
        <v>62403.649999999994</v>
      </c>
    </row>
    <row r="10" spans="1:2" x14ac:dyDescent="0.25">
      <c r="A10" s="12" t="s">
        <v>204</v>
      </c>
      <c r="B10" s="2">
        <v>41816.82</v>
      </c>
    </row>
    <row r="11" spans="1:2" x14ac:dyDescent="0.25">
      <c r="A11" s="12" t="s">
        <v>208</v>
      </c>
      <c r="B11" s="2">
        <v>40713.980000000003</v>
      </c>
    </row>
    <row r="12" spans="1:2" x14ac:dyDescent="0.25">
      <c r="A12" s="12" t="s">
        <v>211</v>
      </c>
      <c r="B12" s="2">
        <v>25683.03</v>
      </c>
    </row>
    <row r="13" spans="1:2" x14ac:dyDescent="0.25">
      <c r="A13" s="12" t="s">
        <v>230</v>
      </c>
      <c r="B13" s="2">
        <v>597550.91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D1022-275B-4BB0-8730-8548B434949A}">
  <dimension ref="A3:B7"/>
  <sheetViews>
    <sheetView zoomScaleNormal="100" workbookViewId="0">
      <selection activeCell="C10" sqref="C10"/>
    </sheetView>
  </sheetViews>
  <sheetFormatPr defaultRowHeight="15" x14ac:dyDescent="0.25"/>
  <cols>
    <col min="1" max="1" width="17.42578125" bestFit="1" customWidth="1"/>
    <col min="2" max="2" width="13.42578125" bestFit="1" customWidth="1"/>
  </cols>
  <sheetData>
    <row r="3" spans="1:2" x14ac:dyDescent="0.25">
      <c r="A3" s="11" t="s">
        <v>15</v>
      </c>
      <c r="B3" t="s">
        <v>231</v>
      </c>
    </row>
    <row r="4" spans="1:2" x14ac:dyDescent="0.25">
      <c r="A4" s="12" t="s">
        <v>227</v>
      </c>
      <c r="B4" s="2">
        <v>1646348.5999999999</v>
      </c>
    </row>
    <row r="5" spans="1:2" x14ac:dyDescent="0.25">
      <c r="A5" s="12" t="s">
        <v>226</v>
      </c>
      <c r="B5" s="2">
        <v>896301.95</v>
      </c>
    </row>
    <row r="6" spans="1:2" x14ac:dyDescent="0.25">
      <c r="A6" s="12" t="s">
        <v>228</v>
      </c>
      <c r="B6" s="2">
        <v>608600.5</v>
      </c>
    </row>
    <row r="7" spans="1:2" x14ac:dyDescent="0.25">
      <c r="A7" s="12" t="s">
        <v>230</v>
      </c>
      <c r="B7" s="2">
        <v>3151251.05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B717-0B15-450B-AE99-B2E99C3B0857}">
  <dimension ref="A3:B19"/>
  <sheetViews>
    <sheetView workbookViewId="0">
      <selection activeCell="G20" sqref="G20"/>
    </sheetView>
  </sheetViews>
  <sheetFormatPr defaultRowHeight="15" x14ac:dyDescent="0.25"/>
  <cols>
    <col min="1" max="1" width="11.85546875" bestFit="1" customWidth="1"/>
    <col min="2" max="2" width="13.42578125" bestFit="1" customWidth="1"/>
  </cols>
  <sheetData>
    <row r="3" spans="1:2" x14ac:dyDescent="0.25">
      <c r="A3" s="11" t="s">
        <v>233</v>
      </c>
      <c r="B3" t="s">
        <v>231</v>
      </c>
    </row>
    <row r="4" spans="1:2" x14ac:dyDescent="0.25">
      <c r="A4" s="12" t="s">
        <v>163</v>
      </c>
      <c r="B4" s="2">
        <v>481789.9</v>
      </c>
    </row>
    <row r="5" spans="1:2" x14ac:dyDescent="0.25">
      <c r="A5" s="12" t="s">
        <v>155</v>
      </c>
      <c r="B5" s="2">
        <v>430892.05000000005</v>
      </c>
    </row>
    <row r="6" spans="1:2" x14ac:dyDescent="0.25">
      <c r="A6" s="12" t="s">
        <v>167</v>
      </c>
      <c r="B6" s="2">
        <v>426002.35</v>
      </c>
    </row>
    <row r="7" spans="1:2" x14ac:dyDescent="0.25">
      <c r="A7" s="12" t="s">
        <v>161</v>
      </c>
      <c r="B7" s="2">
        <v>282797.8</v>
      </c>
    </row>
    <row r="8" spans="1:2" x14ac:dyDescent="0.25">
      <c r="A8" s="12" t="s">
        <v>159</v>
      </c>
      <c r="B8" s="2">
        <v>245959.55000000002</v>
      </c>
    </row>
    <row r="9" spans="1:2" x14ac:dyDescent="0.25">
      <c r="A9" s="12" t="s">
        <v>158</v>
      </c>
      <c r="B9" s="2">
        <v>238080.40000000002</v>
      </c>
    </row>
    <row r="10" spans="1:2" x14ac:dyDescent="0.25">
      <c r="A10" s="12" t="s">
        <v>157</v>
      </c>
      <c r="B10" s="2">
        <v>233223.75</v>
      </c>
    </row>
    <row r="11" spans="1:2" x14ac:dyDescent="0.25">
      <c r="A11" s="12" t="s">
        <v>156</v>
      </c>
      <c r="B11" s="2">
        <v>228398.09999999998</v>
      </c>
    </row>
    <row r="12" spans="1:2" x14ac:dyDescent="0.25">
      <c r="A12" s="12" t="s">
        <v>162</v>
      </c>
      <c r="B12" s="2">
        <v>182869.75</v>
      </c>
    </row>
    <row r="13" spans="1:2" x14ac:dyDescent="0.25">
      <c r="A13" s="12" t="s">
        <v>166</v>
      </c>
      <c r="B13" s="2">
        <v>163037.75</v>
      </c>
    </row>
    <row r="14" spans="1:2" x14ac:dyDescent="0.25">
      <c r="A14" s="12" t="s">
        <v>168</v>
      </c>
      <c r="B14" s="2">
        <v>93805.599999999991</v>
      </c>
    </row>
    <row r="15" spans="1:2" x14ac:dyDescent="0.25">
      <c r="A15" s="12" t="s">
        <v>154</v>
      </c>
      <c r="B15" s="2">
        <v>73710.95</v>
      </c>
    </row>
    <row r="16" spans="1:2" x14ac:dyDescent="0.25">
      <c r="A16" s="12" t="s">
        <v>164</v>
      </c>
      <c r="B16" s="2">
        <v>50929.1</v>
      </c>
    </row>
    <row r="17" spans="1:2" x14ac:dyDescent="0.25">
      <c r="A17" s="12" t="s">
        <v>160</v>
      </c>
      <c r="B17" s="2">
        <v>16788.349999999999</v>
      </c>
    </row>
    <row r="18" spans="1:2" x14ac:dyDescent="0.25">
      <c r="A18" s="12" t="s">
        <v>165</v>
      </c>
      <c r="B18" s="2">
        <v>2965.65</v>
      </c>
    </row>
    <row r="19" spans="1:2" x14ac:dyDescent="0.25">
      <c r="A19" s="12" t="s">
        <v>230</v>
      </c>
      <c r="B19" s="2">
        <v>3151251.05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FF06-D140-4278-B329-4DC0AC147A27}">
  <dimension ref="A3:B8"/>
  <sheetViews>
    <sheetView workbookViewId="0">
      <selection activeCell="A4" sqref="A4"/>
    </sheetView>
  </sheetViews>
  <sheetFormatPr defaultRowHeight="15" x14ac:dyDescent="0.25"/>
  <cols>
    <col min="1" max="1" width="11.28515625" bestFit="1" customWidth="1"/>
    <col min="2" max="2" width="12.5703125" bestFit="1" customWidth="1"/>
  </cols>
  <sheetData>
    <row r="3" spans="1:2" x14ac:dyDescent="0.25">
      <c r="A3" s="11" t="s">
        <v>7</v>
      </c>
      <c r="B3" t="s">
        <v>232</v>
      </c>
    </row>
    <row r="4" spans="1:2" x14ac:dyDescent="0.25">
      <c r="A4" s="12" t="s">
        <v>201</v>
      </c>
      <c r="B4" s="2">
        <v>187314.96</v>
      </c>
    </row>
    <row r="5" spans="1:2" x14ac:dyDescent="0.25">
      <c r="A5" s="12" t="s">
        <v>202</v>
      </c>
      <c r="B5" s="2">
        <v>172862.21999999997</v>
      </c>
    </row>
    <row r="6" spans="1:2" x14ac:dyDescent="0.25">
      <c r="A6" s="12" t="s">
        <v>199</v>
      </c>
      <c r="B6" s="2">
        <v>128800.66</v>
      </c>
    </row>
    <row r="7" spans="1:2" x14ac:dyDescent="0.25">
      <c r="A7" s="12" t="s">
        <v>200</v>
      </c>
      <c r="B7" s="2">
        <v>108573.06999999998</v>
      </c>
    </row>
    <row r="8" spans="1:2" x14ac:dyDescent="0.25">
      <c r="A8" s="12" t="s">
        <v>230</v>
      </c>
      <c r="B8" s="2">
        <v>597550.90999999992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3AA86-BA84-4A5B-A614-9E6A12B664A3}">
  <dimension ref="A3:B9"/>
  <sheetViews>
    <sheetView workbookViewId="0">
      <selection activeCell="A3" sqref="A3:C8"/>
    </sheetView>
  </sheetViews>
  <sheetFormatPr defaultRowHeight="15" x14ac:dyDescent="0.25"/>
  <cols>
    <col min="1" max="1" width="11.28515625" bestFit="1" customWidth="1"/>
    <col min="2" max="3" width="12.5703125" bestFit="1" customWidth="1"/>
  </cols>
  <sheetData>
    <row r="3" spans="1:2" x14ac:dyDescent="0.25">
      <c r="A3" s="11" t="s">
        <v>12</v>
      </c>
      <c r="B3" t="s">
        <v>232</v>
      </c>
    </row>
    <row r="4" spans="1:2" x14ac:dyDescent="0.25">
      <c r="A4" s="13">
        <v>0</v>
      </c>
      <c r="B4" s="2">
        <v>49780.71</v>
      </c>
    </row>
    <row r="5" spans="1:2" x14ac:dyDescent="0.25">
      <c r="A5" s="13">
        <v>0.05</v>
      </c>
      <c r="B5" s="2">
        <v>158338.01000000004</v>
      </c>
    </row>
    <row r="6" spans="1:2" x14ac:dyDescent="0.25">
      <c r="A6" s="13">
        <v>0.1</v>
      </c>
      <c r="B6" s="2">
        <v>58824.759999999995</v>
      </c>
    </row>
    <row r="7" spans="1:2" x14ac:dyDescent="0.25">
      <c r="A7" s="13">
        <v>0.15</v>
      </c>
      <c r="B7" s="2">
        <v>89235.73</v>
      </c>
    </row>
    <row r="8" spans="1:2" x14ac:dyDescent="0.25">
      <c r="A8" s="13">
        <v>0.2</v>
      </c>
      <c r="B8" s="2">
        <v>241371.69999999998</v>
      </c>
    </row>
    <row r="9" spans="1:2" x14ac:dyDescent="0.25">
      <c r="A9" s="13" t="s">
        <v>230</v>
      </c>
      <c r="B9" s="2">
        <v>597550.91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6F043-15D6-4A0D-B5B1-7D1B475B03AF}">
  <dimension ref="A3:F10"/>
  <sheetViews>
    <sheetView topLeftCell="C1" workbookViewId="0">
      <selection activeCell="F6" sqref="F6"/>
    </sheetView>
  </sheetViews>
  <sheetFormatPr defaultRowHeight="15" x14ac:dyDescent="0.25"/>
  <cols>
    <col min="1" max="1" width="12.140625" bestFit="1" customWidth="1"/>
    <col min="2" max="2" width="16.28515625" bestFit="1" customWidth="1"/>
    <col min="3" max="4" width="12.28515625" bestFit="1" customWidth="1"/>
    <col min="5" max="6" width="13.42578125" bestFit="1" customWidth="1"/>
  </cols>
  <sheetData>
    <row r="3" spans="1:6" x14ac:dyDescent="0.25">
      <c r="A3" s="11" t="s">
        <v>231</v>
      </c>
      <c r="B3" s="11" t="s">
        <v>234</v>
      </c>
    </row>
    <row r="4" spans="1:6" x14ac:dyDescent="0.25">
      <c r="A4" s="11" t="s">
        <v>5</v>
      </c>
      <c r="B4" t="s">
        <v>200</v>
      </c>
      <c r="C4" t="s">
        <v>202</v>
      </c>
      <c r="D4" t="s">
        <v>199</v>
      </c>
      <c r="E4" t="s">
        <v>201</v>
      </c>
      <c r="F4" t="s">
        <v>230</v>
      </c>
    </row>
    <row r="5" spans="1:6" x14ac:dyDescent="0.25">
      <c r="A5" s="12" t="s">
        <v>188</v>
      </c>
      <c r="B5" s="2">
        <v>16640.75</v>
      </c>
      <c r="C5" s="2">
        <v>4587.45</v>
      </c>
      <c r="D5" s="2"/>
      <c r="E5" s="2">
        <v>17720.150000000001</v>
      </c>
      <c r="F5" s="2">
        <v>38948.350000000006</v>
      </c>
    </row>
    <row r="6" spans="1:6" x14ac:dyDescent="0.25">
      <c r="A6" s="12" t="s">
        <v>186</v>
      </c>
      <c r="B6" s="2">
        <v>341938.55</v>
      </c>
      <c r="C6" s="2">
        <v>802617.64999999991</v>
      </c>
      <c r="D6" s="2">
        <v>495679.95000000007</v>
      </c>
      <c r="E6" s="2">
        <v>1024444.4</v>
      </c>
      <c r="F6" s="2">
        <v>2664680.5499999998</v>
      </c>
    </row>
    <row r="7" spans="1:6" x14ac:dyDescent="0.25">
      <c r="A7" s="12" t="s">
        <v>187</v>
      </c>
      <c r="B7" s="2">
        <v>47446.299999999996</v>
      </c>
      <c r="C7" s="2">
        <v>28336.65</v>
      </c>
      <c r="D7" s="2">
        <v>19698.050000000003</v>
      </c>
      <c r="E7" s="2">
        <v>12770.900000000001</v>
      </c>
      <c r="F7" s="2">
        <v>108251.9</v>
      </c>
    </row>
    <row r="8" spans="1:6" x14ac:dyDescent="0.25">
      <c r="A8" s="12" t="s">
        <v>185</v>
      </c>
      <c r="B8" s="2">
        <v>71038.05</v>
      </c>
      <c r="C8" s="2">
        <v>49293</v>
      </c>
      <c r="D8" s="2">
        <v>69264.149999999994</v>
      </c>
      <c r="E8" s="2">
        <v>67689.599999999991</v>
      </c>
      <c r="F8" s="2">
        <v>257284.8</v>
      </c>
    </row>
    <row r="9" spans="1:6" x14ac:dyDescent="0.25">
      <c r="A9" s="12" t="s">
        <v>184</v>
      </c>
      <c r="B9" s="2">
        <v>43654.05</v>
      </c>
      <c r="C9" s="2">
        <v>6522.45</v>
      </c>
      <c r="D9" s="2">
        <v>6973.2</v>
      </c>
      <c r="E9" s="2">
        <v>24935.75</v>
      </c>
      <c r="F9" s="2">
        <v>82085.45</v>
      </c>
    </row>
    <row r="10" spans="1:6" x14ac:dyDescent="0.25">
      <c r="A10" s="12" t="s">
        <v>230</v>
      </c>
      <c r="B10" s="2">
        <v>520717.69999999995</v>
      </c>
      <c r="C10" s="2">
        <v>891357.19999999984</v>
      </c>
      <c r="D10" s="2">
        <v>591615.35</v>
      </c>
      <c r="E10" s="2">
        <v>1147560.8</v>
      </c>
      <c r="F10" s="2">
        <v>3151251.05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CB10-D3D3-4477-9B8F-984F4C176CC3}">
  <dimension ref="A3:B19"/>
  <sheetViews>
    <sheetView workbookViewId="0">
      <selection activeCell="G23" sqref="G23"/>
    </sheetView>
  </sheetViews>
  <sheetFormatPr defaultRowHeight="15" x14ac:dyDescent="0.25"/>
  <cols>
    <col min="1" max="1" width="11.85546875" bestFit="1" customWidth="1"/>
    <col min="2" max="2" width="17.28515625" bestFit="1" customWidth="1"/>
  </cols>
  <sheetData>
    <row r="3" spans="1:2" x14ac:dyDescent="0.25">
      <c r="A3" s="11" t="s">
        <v>233</v>
      </c>
      <c r="B3" t="s">
        <v>235</v>
      </c>
    </row>
    <row r="4" spans="1:2" x14ac:dyDescent="0.25">
      <c r="A4" s="12" t="s">
        <v>156</v>
      </c>
      <c r="B4" s="15">
        <v>13</v>
      </c>
    </row>
    <row r="5" spans="1:2" x14ac:dyDescent="0.25">
      <c r="A5" s="12" t="s">
        <v>155</v>
      </c>
      <c r="B5" s="15">
        <v>10</v>
      </c>
    </row>
    <row r="6" spans="1:2" x14ac:dyDescent="0.25">
      <c r="A6" s="12" t="s">
        <v>161</v>
      </c>
      <c r="B6" s="15">
        <v>9</v>
      </c>
    </row>
    <row r="7" spans="1:2" x14ac:dyDescent="0.25">
      <c r="A7" s="12" t="s">
        <v>164</v>
      </c>
      <c r="B7" s="15">
        <v>8</v>
      </c>
    </row>
    <row r="8" spans="1:2" x14ac:dyDescent="0.25">
      <c r="A8" s="12" t="s">
        <v>154</v>
      </c>
      <c r="B8" s="15">
        <v>8</v>
      </c>
    </row>
    <row r="9" spans="1:2" x14ac:dyDescent="0.25">
      <c r="A9" s="12" t="s">
        <v>158</v>
      </c>
      <c r="B9" s="15">
        <v>8</v>
      </c>
    </row>
    <row r="10" spans="1:2" x14ac:dyDescent="0.25">
      <c r="A10" s="12" t="s">
        <v>157</v>
      </c>
      <c r="B10" s="15">
        <v>7</v>
      </c>
    </row>
    <row r="11" spans="1:2" x14ac:dyDescent="0.25">
      <c r="A11" s="12" t="s">
        <v>163</v>
      </c>
      <c r="B11" s="15">
        <v>7</v>
      </c>
    </row>
    <row r="12" spans="1:2" x14ac:dyDescent="0.25">
      <c r="A12" s="12" t="s">
        <v>159</v>
      </c>
      <c r="B12" s="15">
        <v>6</v>
      </c>
    </row>
    <row r="13" spans="1:2" x14ac:dyDescent="0.25">
      <c r="A13" s="12" t="s">
        <v>167</v>
      </c>
      <c r="B13" s="15">
        <v>6</v>
      </c>
    </row>
    <row r="14" spans="1:2" x14ac:dyDescent="0.25">
      <c r="A14" s="12" t="s">
        <v>160</v>
      </c>
      <c r="B14" s="15">
        <v>5</v>
      </c>
    </row>
    <row r="15" spans="1:2" x14ac:dyDescent="0.25">
      <c r="A15" s="12" t="s">
        <v>162</v>
      </c>
      <c r="B15" s="15">
        <v>4</v>
      </c>
    </row>
    <row r="16" spans="1:2" x14ac:dyDescent="0.25">
      <c r="A16" s="12" t="s">
        <v>168</v>
      </c>
      <c r="B16" s="15">
        <v>4</v>
      </c>
    </row>
    <row r="17" spans="1:2" x14ac:dyDescent="0.25">
      <c r="A17" s="12" t="s">
        <v>166</v>
      </c>
      <c r="B17" s="15">
        <v>3</v>
      </c>
    </row>
    <row r="18" spans="1:2" x14ac:dyDescent="0.25">
      <c r="A18" s="12" t="s">
        <v>165</v>
      </c>
      <c r="B18" s="15">
        <v>2</v>
      </c>
    </row>
    <row r="19" spans="1:2" x14ac:dyDescent="0.25">
      <c r="A19" s="12" t="s">
        <v>230</v>
      </c>
      <c r="B19" s="15">
        <v>100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FF980-6C71-4CF3-8999-59FC9E9D16DB}">
  <dimension ref="A3:B16"/>
  <sheetViews>
    <sheetView workbookViewId="0">
      <selection activeCell="B11" sqref="B11"/>
    </sheetView>
  </sheetViews>
  <sheetFormatPr defaultRowHeight="15" x14ac:dyDescent="0.25"/>
  <cols>
    <col min="1" max="1" width="11.28515625" bestFit="1" customWidth="1"/>
    <col min="2" max="2" width="13.42578125" bestFit="1" customWidth="1"/>
  </cols>
  <sheetData>
    <row r="3" spans="1:2" x14ac:dyDescent="0.25">
      <c r="A3" s="11" t="s">
        <v>251</v>
      </c>
      <c r="B3" t="s">
        <v>231</v>
      </c>
    </row>
    <row r="4" spans="1:2" x14ac:dyDescent="0.25">
      <c r="A4" s="12" t="s">
        <v>239</v>
      </c>
      <c r="B4" s="2">
        <v>89539.75</v>
      </c>
    </row>
    <row r="5" spans="1:2" x14ac:dyDescent="0.25">
      <c r="A5" s="12" t="s">
        <v>240</v>
      </c>
      <c r="B5" s="2">
        <v>575195.35</v>
      </c>
    </row>
    <row r="6" spans="1:2" x14ac:dyDescent="0.25">
      <c r="A6" s="12" t="s">
        <v>241</v>
      </c>
      <c r="B6" s="2">
        <v>291293.15000000002</v>
      </c>
    </row>
    <row r="7" spans="1:2" x14ac:dyDescent="0.25">
      <c r="A7" s="12" t="s">
        <v>242</v>
      </c>
      <c r="B7" s="2">
        <v>148988.9</v>
      </c>
    </row>
    <row r="8" spans="1:2" x14ac:dyDescent="0.25">
      <c r="A8" s="12" t="s">
        <v>243</v>
      </c>
      <c r="B8" s="2">
        <v>273715.55000000005</v>
      </c>
    </row>
    <row r="9" spans="1:2" x14ac:dyDescent="0.25">
      <c r="A9" s="12" t="s">
        <v>244</v>
      </c>
      <c r="B9" s="2">
        <v>32207.85</v>
      </c>
    </row>
    <row r="10" spans="1:2" x14ac:dyDescent="0.25">
      <c r="A10" s="12" t="s">
        <v>245</v>
      </c>
      <c r="B10" s="2">
        <v>396160.50000000006</v>
      </c>
    </row>
    <row r="11" spans="1:2" x14ac:dyDescent="0.25">
      <c r="A11" s="12" t="s">
        <v>246</v>
      </c>
      <c r="B11" s="2">
        <v>563676.64999999991</v>
      </c>
    </row>
    <row r="12" spans="1:2" x14ac:dyDescent="0.25">
      <c r="A12" s="12" t="s">
        <v>247</v>
      </c>
      <c r="B12" s="2">
        <v>420485.35</v>
      </c>
    </row>
    <row r="13" spans="1:2" x14ac:dyDescent="0.25">
      <c r="A13" s="12" t="s">
        <v>248</v>
      </c>
      <c r="B13" s="2">
        <v>78868.399999999994</v>
      </c>
    </row>
    <row r="14" spans="1:2" x14ac:dyDescent="0.25">
      <c r="A14" s="12" t="s">
        <v>249</v>
      </c>
      <c r="B14" s="2">
        <v>212092.4</v>
      </c>
    </row>
    <row r="15" spans="1:2" x14ac:dyDescent="0.25">
      <c r="A15" s="12" t="s">
        <v>250</v>
      </c>
      <c r="B15" s="2">
        <v>69027.200000000012</v>
      </c>
    </row>
    <row r="16" spans="1:2" x14ac:dyDescent="0.25">
      <c r="A16" s="12" t="s">
        <v>230</v>
      </c>
      <c r="B16" s="2">
        <v>3151251.0500000003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opLeftCell="A2" workbookViewId="0">
      <selection activeCell="A2" sqref="A2"/>
    </sheetView>
  </sheetViews>
  <sheetFormatPr defaultRowHeight="15" x14ac:dyDescent="0.25"/>
  <cols>
    <col min="1" max="1" width="11.140625" customWidth="1"/>
    <col min="2" max="2" width="18" style="1" bestFit="1" customWidth="1"/>
    <col min="3" max="3" width="14.5703125" customWidth="1"/>
    <col min="4" max="4" width="18" customWidth="1"/>
    <col min="5" max="5" width="10" customWidth="1"/>
    <col min="6" max="6" width="11" customWidth="1"/>
    <col min="7" max="7" width="15.28515625" customWidth="1"/>
    <col min="8" max="8" width="9.28515625" customWidth="1"/>
    <col min="11" max="11" width="12.28515625" style="2" bestFit="1" customWidth="1"/>
    <col min="12" max="12" width="10.85546875" style="3" customWidth="1"/>
    <col min="13" max="13" width="10.85546875" style="4" customWidth="1"/>
    <col min="14" max="14" width="10.7109375" style="2" bestFit="1" customWidth="1"/>
    <col min="15" max="15" width="17.28515625" customWidth="1"/>
    <col min="16" max="16" width="17.140625" customWidth="1"/>
    <col min="17" max="17" width="18" style="4" bestFit="1" customWidth="1"/>
  </cols>
  <sheetData>
    <row r="1" spans="1:17" x14ac:dyDescent="0.25">
      <c r="A1" s="5" t="s">
        <v>0</v>
      </c>
      <c r="B1" s="6" t="s">
        <v>1</v>
      </c>
      <c r="C1" s="5" t="s">
        <v>2</v>
      </c>
      <c r="D1" s="5" t="s">
        <v>3</v>
      </c>
      <c r="E1" s="5" t="s">
        <v>4</v>
      </c>
      <c r="F1" s="5" t="s">
        <v>5</v>
      </c>
      <c r="G1" s="5" t="s">
        <v>6</v>
      </c>
      <c r="H1" s="5" t="s">
        <v>7</v>
      </c>
      <c r="I1" s="5" t="s">
        <v>8</v>
      </c>
      <c r="J1" s="5" t="s">
        <v>9</v>
      </c>
      <c r="K1" s="7" t="s">
        <v>10</v>
      </c>
      <c r="L1" s="8" t="s">
        <v>11</v>
      </c>
      <c r="M1" s="9" t="s">
        <v>12</v>
      </c>
      <c r="N1" s="7" t="s">
        <v>13</v>
      </c>
      <c r="O1" s="5" t="s">
        <v>14</v>
      </c>
      <c r="P1" s="5" t="s">
        <v>15</v>
      </c>
      <c r="Q1" s="10" t="s">
        <v>229</v>
      </c>
    </row>
    <row r="2" spans="1:17" x14ac:dyDescent="0.25">
      <c r="A2" t="s">
        <v>16</v>
      </c>
      <c r="B2" s="1">
        <v>45783</v>
      </c>
      <c r="C2" t="s">
        <v>116</v>
      </c>
      <c r="D2" t="s">
        <v>154</v>
      </c>
      <c r="E2" t="s">
        <v>169</v>
      </c>
      <c r="F2" t="s">
        <v>184</v>
      </c>
      <c r="G2" t="s">
        <v>189</v>
      </c>
      <c r="H2" t="s">
        <v>199</v>
      </c>
      <c r="I2" t="s">
        <v>203</v>
      </c>
      <c r="J2" t="s">
        <v>212</v>
      </c>
      <c r="K2" s="2">
        <v>1138.0999999999999</v>
      </c>
      <c r="L2" s="3">
        <v>2</v>
      </c>
      <c r="M2" s="4">
        <v>0.05</v>
      </c>
      <c r="N2" s="2">
        <v>258.68</v>
      </c>
      <c r="O2" t="s">
        <v>222</v>
      </c>
      <c r="P2" t="s">
        <v>226</v>
      </c>
      <c r="Q2" s="4">
        <f>Sales_Data[[#This Row],[Profit]]/Sales_Data[[#This Row],[Sales]]</f>
        <v>0.22729109920042179</v>
      </c>
    </row>
    <row r="3" spans="1:17" x14ac:dyDescent="0.25">
      <c r="A3" t="s">
        <v>17</v>
      </c>
      <c r="B3" s="1">
        <v>45777</v>
      </c>
      <c r="C3" t="s">
        <v>117</v>
      </c>
      <c r="D3" t="s">
        <v>155</v>
      </c>
      <c r="E3" t="s">
        <v>170</v>
      </c>
      <c r="F3" t="s">
        <v>185</v>
      </c>
      <c r="G3" t="s">
        <v>190</v>
      </c>
      <c r="H3" t="s">
        <v>199</v>
      </c>
      <c r="I3" t="s">
        <v>203</v>
      </c>
      <c r="J3" t="s">
        <v>212</v>
      </c>
      <c r="K3" s="2">
        <v>27996</v>
      </c>
      <c r="L3" s="3">
        <v>5</v>
      </c>
      <c r="M3" s="4">
        <v>0.2</v>
      </c>
      <c r="N3" s="2">
        <v>2388.2600000000002</v>
      </c>
      <c r="O3" t="s">
        <v>223</v>
      </c>
      <c r="P3" t="s">
        <v>226</v>
      </c>
      <c r="Q3" s="4">
        <f>Sales_Data[[#This Row],[Profit]]/Sales_Data[[#This Row],[Sales]]</f>
        <v>8.5307186740963006E-2</v>
      </c>
    </row>
    <row r="4" spans="1:17" x14ac:dyDescent="0.25">
      <c r="A4" t="s">
        <v>18</v>
      </c>
      <c r="B4" s="1">
        <v>45800</v>
      </c>
      <c r="C4" t="s">
        <v>118</v>
      </c>
      <c r="D4" t="s">
        <v>156</v>
      </c>
      <c r="E4" t="s">
        <v>169</v>
      </c>
      <c r="F4" t="s">
        <v>184</v>
      </c>
      <c r="G4" t="s">
        <v>189</v>
      </c>
      <c r="H4" t="s">
        <v>200</v>
      </c>
      <c r="I4" t="s">
        <v>204</v>
      </c>
      <c r="J4" t="s">
        <v>213</v>
      </c>
      <c r="K4" s="2">
        <v>569.04999999999995</v>
      </c>
      <c r="L4" s="3">
        <v>1</v>
      </c>
      <c r="M4" s="4">
        <v>0.05</v>
      </c>
      <c r="N4" s="2">
        <v>124.98</v>
      </c>
      <c r="O4" t="s">
        <v>224</v>
      </c>
      <c r="P4" t="s">
        <v>227</v>
      </c>
      <c r="Q4" s="4">
        <f>Sales_Data[[#This Row],[Profit]]/Sales_Data[[#This Row],[Sales]]</f>
        <v>0.21962920657235746</v>
      </c>
    </row>
    <row r="5" spans="1:17" x14ac:dyDescent="0.25">
      <c r="A5" t="s">
        <v>19</v>
      </c>
      <c r="B5" s="1">
        <v>45852</v>
      </c>
      <c r="C5" t="s">
        <v>119</v>
      </c>
      <c r="D5" t="s">
        <v>155</v>
      </c>
      <c r="E5" t="s">
        <v>171</v>
      </c>
      <c r="F5" t="s">
        <v>186</v>
      </c>
      <c r="G5" t="s">
        <v>191</v>
      </c>
      <c r="H5" t="s">
        <v>201</v>
      </c>
      <c r="I5" t="s">
        <v>205</v>
      </c>
      <c r="J5" t="s">
        <v>214</v>
      </c>
      <c r="K5" s="2">
        <v>1349.1</v>
      </c>
      <c r="L5" s="3">
        <v>1</v>
      </c>
      <c r="M5" s="4">
        <v>0.1</v>
      </c>
      <c r="N5" s="2">
        <v>336.6</v>
      </c>
      <c r="O5" t="s">
        <v>224</v>
      </c>
      <c r="P5" t="s">
        <v>228</v>
      </c>
      <c r="Q5" s="4">
        <f>Sales_Data[[#This Row],[Profit]]/Sales_Data[[#This Row],[Sales]]</f>
        <v>0.24949966644429622</v>
      </c>
    </row>
    <row r="6" spans="1:17" x14ac:dyDescent="0.25">
      <c r="A6" t="s">
        <v>20</v>
      </c>
      <c r="B6" s="1">
        <v>45698</v>
      </c>
      <c r="C6" t="s">
        <v>120</v>
      </c>
      <c r="D6" t="s">
        <v>157</v>
      </c>
      <c r="E6" t="s">
        <v>172</v>
      </c>
      <c r="F6" t="s">
        <v>184</v>
      </c>
      <c r="G6" t="s">
        <v>189</v>
      </c>
      <c r="H6" t="s">
        <v>200</v>
      </c>
      <c r="I6" t="s">
        <v>204</v>
      </c>
      <c r="J6" t="s">
        <v>213</v>
      </c>
      <c r="K6" s="2">
        <v>4495.5</v>
      </c>
      <c r="L6" s="3">
        <v>5</v>
      </c>
      <c r="M6" s="4">
        <v>0.1</v>
      </c>
      <c r="N6" s="2">
        <v>1105.3599999999999</v>
      </c>
      <c r="O6" t="s">
        <v>224</v>
      </c>
      <c r="P6" t="s">
        <v>226</v>
      </c>
      <c r="Q6" s="4">
        <f>Sales_Data[[#This Row],[Profit]]/Sales_Data[[#This Row],[Sales]]</f>
        <v>0.24588143699254808</v>
      </c>
    </row>
    <row r="7" spans="1:17" x14ac:dyDescent="0.25">
      <c r="A7" t="s">
        <v>21</v>
      </c>
      <c r="B7" s="1">
        <v>45806</v>
      </c>
      <c r="C7" t="s">
        <v>121</v>
      </c>
      <c r="D7" t="s">
        <v>158</v>
      </c>
      <c r="E7" t="s">
        <v>173</v>
      </c>
      <c r="F7" t="s">
        <v>186</v>
      </c>
      <c r="G7" t="s">
        <v>192</v>
      </c>
      <c r="H7" t="s">
        <v>199</v>
      </c>
      <c r="I7" t="s">
        <v>203</v>
      </c>
      <c r="J7" t="s">
        <v>212</v>
      </c>
      <c r="K7" s="2">
        <v>28499.05</v>
      </c>
      <c r="L7" s="3">
        <v>1</v>
      </c>
      <c r="M7" s="4">
        <v>0.05</v>
      </c>
      <c r="N7" s="2">
        <v>7218.72</v>
      </c>
      <c r="O7" t="s">
        <v>225</v>
      </c>
      <c r="P7" t="s">
        <v>227</v>
      </c>
      <c r="Q7" s="4">
        <f>Sales_Data[[#This Row],[Profit]]/Sales_Data[[#This Row],[Sales]]</f>
        <v>0.25329686428144099</v>
      </c>
    </row>
    <row r="8" spans="1:17" x14ac:dyDescent="0.25">
      <c r="A8" t="s">
        <v>22</v>
      </c>
      <c r="B8" s="1">
        <v>45765</v>
      </c>
      <c r="C8" t="s">
        <v>122</v>
      </c>
      <c r="D8" t="s">
        <v>159</v>
      </c>
      <c r="E8" t="s">
        <v>174</v>
      </c>
      <c r="F8" t="s">
        <v>185</v>
      </c>
      <c r="G8" t="s">
        <v>193</v>
      </c>
      <c r="H8" t="s">
        <v>202</v>
      </c>
      <c r="I8" t="s">
        <v>206</v>
      </c>
      <c r="J8" t="s">
        <v>215</v>
      </c>
      <c r="K8" s="2">
        <v>16497</v>
      </c>
      <c r="L8" s="3">
        <v>3</v>
      </c>
      <c r="M8" s="4">
        <v>0</v>
      </c>
      <c r="N8" s="2">
        <v>3329.53</v>
      </c>
      <c r="O8" t="s">
        <v>223</v>
      </c>
      <c r="P8" t="s">
        <v>226</v>
      </c>
      <c r="Q8" s="4">
        <f>Sales_Data[[#This Row],[Profit]]/Sales_Data[[#This Row],[Sales]]</f>
        <v>0.20182639267745653</v>
      </c>
    </row>
    <row r="9" spans="1:17" x14ac:dyDescent="0.25">
      <c r="A9" t="s">
        <v>23</v>
      </c>
      <c r="B9" s="1">
        <v>45796</v>
      </c>
      <c r="C9" t="s">
        <v>120</v>
      </c>
      <c r="D9" t="s">
        <v>156</v>
      </c>
      <c r="E9" t="s">
        <v>172</v>
      </c>
      <c r="F9" t="s">
        <v>184</v>
      </c>
      <c r="G9" t="s">
        <v>189</v>
      </c>
      <c r="H9" t="s">
        <v>201</v>
      </c>
      <c r="I9" t="s">
        <v>207</v>
      </c>
      <c r="J9" t="s">
        <v>216</v>
      </c>
      <c r="K9" s="2">
        <v>4745.25</v>
      </c>
      <c r="L9" s="3">
        <v>5</v>
      </c>
      <c r="M9" s="4">
        <v>0.05</v>
      </c>
      <c r="N9" s="2">
        <v>1029.3499999999999</v>
      </c>
      <c r="O9" t="s">
        <v>222</v>
      </c>
      <c r="P9" t="s">
        <v>228</v>
      </c>
      <c r="Q9" s="4">
        <f>Sales_Data[[#This Row],[Profit]]/Sales_Data[[#This Row],[Sales]]</f>
        <v>0.21692218534323796</v>
      </c>
    </row>
    <row r="10" spans="1:17" x14ac:dyDescent="0.25">
      <c r="A10" t="s">
        <v>24</v>
      </c>
      <c r="B10" s="1">
        <v>45691</v>
      </c>
      <c r="C10" t="s">
        <v>116</v>
      </c>
      <c r="D10" t="s">
        <v>160</v>
      </c>
      <c r="E10" t="s">
        <v>175</v>
      </c>
      <c r="F10" t="s">
        <v>187</v>
      </c>
      <c r="G10" t="s">
        <v>194</v>
      </c>
      <c r="H10" t="s">
        <v>199</v>
      </c>
      <c r="I10" t="s">
        <v>208</v>
      </c>
      <c r="J10" t="s">
        <v>217</v>
      </c>
      <c r="K10" s="2">
        <v>2878.4</v>
      </c>
      <c r="L10" s="3">
        <v>2</v>
      </c>
      <c r="M10" s="4">
        <v>0.2</v>
      </c>
      <c r="N10" s="2">
        <v>734.78</v>
      </c>
      <c r="O10" t="s">
        <v>224</v>
      </c>
      <c r="P10" t="s">
        <v>228</v>
      </c>
      <c r="Q10" s="4">
        <f>Sales_Data[[#This Row],[Profit]]/Sales_Data[[#This Row],[Sales]]</f>
        <v>0.25527376320177875</v>
      </c>
    </row>
    <row r="11" spans="1:17" x14ac:dyDescent="0.25">
      <c r="A11" t="s">
        <v>25</v>
      </c>
      <c r="B11" s="1">
        <v>45731</v>
      </c>
      <c r="C11" t="s">
        <v>123</v>
      </c>
      <c r="D11" t="s">
        <v>157</v>
      </c>
      <c r="E11" t="s">
        <v>169</v>
      </c>
      <c r="F11" t="s">
        <v>184</v>
      </c>
      <c r="G11" t="s">
        <v>189</v>
      </c>
      <c r="H11" t="s">
        <v>200</v>
      </c>
      <c r="I11" t="s">
        <v>209</v>
      </c>
      <c r="J11" t="s">
        <v>218</v>
      </c>
      <c r="K11" s="2">
        <v>1707.15</v>
      </c>
      <c r="L11" s="3">
        <v>3</v>
      </c>
      <c r="M11" s="4">
        <v>0.05</v>
      </c>
      <c r="N11" s="2">
        <v>220.78</v>
      </c>
      <c r="O11" t="s">
        <v>224</v>
      </c>
      <c r="P11" t="s">
        <v>226</v>
      </c>
      <c r="Q11" s="4">
        <f>Sales_Data[[#This Row],[Profit]]/Sales_Data[[#This Row],[Sales]]</f>
        <v>0.12932665553700612</v>
      </c>
    </row>
    <row r="12" spans="1:17" x14ac:dyDescent="0.25">
      <c r="A12" t="s">
        <v>26</v>
      </c>
      <c r="B12" s="1">
        <v>45728</v>
      </c>
      <c r="C12" t="s">
        <v>121</v>
      </c>
      <c r="D12" t="s">
        <v>159</v>
      </c>
      <c r="E12" t="s">
        <v>176</v>
      </c>
      <c r="F12" t="s">
        <v>184</v>
      </c>
      <c r="G12" t="s">
        <v>195</v>
      </c>
      <c r="H12" t="s">
        <v>200</v>
      </c>
      <c r="I12" t="s">
        <v>209</v>
      </c>
      <c r="J12" t="s">
        <v>218</v>
      </c>
      <c r="K12" s="2">
        <v>14870.75</v>
      </c>
      <c r="L12" s="3">
        <v>5</v>
      </c>
      <c r="M12" s="4">
        <v>0.15</v>
      </c>
      <c r="N12" s="2">
        <v>1460.04</v>
      </c>
      <c r="O12" t="s">
        <v>222</v>
      </c>
      <c r="P12" t="s">
        <v>228</v>
      </c>
      <c r="Q12" s="4">
        <f>Sales_Data[[#This Row],[Profit]]/Sales_Data[[#This Row],[Sales]]</f>
        <v>9.8182001580283437E-2</v>
      </c>
    </row>
    <row r="13" spans="1:17" x14ac:dyDescent="0.25">
      <c r="A13" t="s">
        <v>27</v>
      </c>
      <c r="B13" s="1">
        <v>45855</v>
      </c>
      <c r="C13" t="s">
        <v>124</v>
      </c>
      <c r="D13" t="s">
        <v>161</v>
      </c>
      <c r="E13" t="s">
        <v>171</v>
      </c>
      <c r="F13" t="s">
        <v>186</v>
      </c>
      <c r="G13" t="s">
        <v>191</v>
      </c>
      <c r="H13" t="s">
        <v>201</v>
      </c>
      <c r="I13" t="s">
        <v>205</v>
      </c>
      <c r="J13" t="s">
        <v>214</v>
      </c>
      <c r="K13" s="2">
        <v>4796.8</v>
      </c>
      <c r="L13" s="3">
        <v>4</v>
      </c>
      <c r="M13" s="4">
        <v>0.2</v>
      </c>
      <c r="N13" s="2">
        <v>1339.38</v>
      </c>
      <c r="O13" t="s">
        <v>224</v>
      </c>
      <c r="P13" t="s">
        <v>226</v>
      </c>
      <c r="Q13" s="4">
        <f>Sales_Data[[#This Row],[Profit]]/Sales_Data[[#This Row],[Sales]]</f>
        <v>0.27922364909939962</v>
      </c>
    </row>
    <row r="14" spans="1:17" x14ac:dyDescent="0.25">
      <c r="A14" t="s">
        <v>28</v>
      </c>
      <c r="B14" s="1">
        <v>45794</v>
      </c>
      <c r="C14" t="s">
        <v>125</v>
      </c>
      <c r="D14" t="s">
        <v>158</v>
      </c>
      <c r="E14" t="s">
        <v>175</v>
      </c>
      <c r="F14" t="s">
        <v>187</v>
      </c>
      <c r="G14" t="s">
        <v>194</v>
      </c>
      <c r="H14" t="s">
        <v>199</v>
      </c>
      <c r="I14" t="s">
        <v>203</v>
      </c>
      <c r="J14" t="s">
        <v>212</v>
      </c>
      <c r="K14" s="2">
        <v>5397</v>
      </c>
      <c r="L14" s="3">
        <v>3</v>
      </c>
      <c r="M14" s="4">
        <v>0</v>
      </c>
      <c r="N14" s="2">
        <v>748.56</v>
      </c>
      <c r="O14" t="s">
        <v>223</v>
      </c>
      <c r="P14" t="s">
        <v>227</v>
      </c>
      <c r="Q14" s="4">
        <f>Sales_Data[[#This Row],[Profit]]/Sales_Data[[#This Row],[Sales]]</f>
        <v>0.13869927737632018</v>
      </c>
    </row>
    <row r="15" spans="1:17" x14ac:dyDescent="0.25">
      <c r="A15" t="s">
        <v>29</v>
      </c>
      <c r="B15" s="1">
        <v>45978</v>
      </c>
      <c r="C15" t="s">
        <v>126</v>
      </c>
      <c r="D15" t="s">
        <v>162</v>
      </c>
      <c r="E15" t="s">
        <v>177</v>
      </c>
      <c r="F15" t="s">
        <v>186</v>
      </c>
      <c r="G15" t="s">
        <v>196</v>
      </c>
      <c r="H15" t="s">
        <v>202</v>
      </c>
      <c r="I15" t="s">
        <v>206</v>
      </c>
      <c r="J15" t="s">
        <v>215</v>
      </c>
      <c r="K15" s="2">
        <v>156000</v>
      </c>
      <c r="L15" s="3">
        <v>3</v>
      </c>
      <c r="M15" s="4">
        <v>0.2</v>
      </c>
      <c r="N15" s="2">
        <v>31479.87</v>
      </c>
      <c r="O15" t="s">
        <v>223</v>
      </c>
      <c r="P15" t="s">
        <v>227</v>
      </c>
      <c r="Q15" s="4">
        <f>Sales_Data[[#This Row],[Profit]]/Sales_Data[[#This Row],[Sales]]</f>
        <v>0.20179403846153846</v>
      </c>
    </row>
    <row r="16" spans="1:17" x14ac:dyDescent="0.25">
      <c r="A16" t="s">
        <v>30</v>
      </c>
      <c r="B16" s="1">
        <v>45908</v>
      </c>
      <c r="C16" t="s">
        <v>127</v>
      </c>
      <c r="D16" t="s">
        <v>161</v>
      </c>
      <c r="E16" t="s">
        <v>178</v>
      </c>
      <c r="F16" t="s">
        <v>187</v>
      </c>
      <c r="G16" t="s">
        <v>194</v>
      </c>
      <c r="H16" t="s">
        <v>201</v>
      </c>
      <c r="I16" t="s">
        <v>207</v>
      </c>
      <c r="J16" t="s">
        <v>216</v>
      </c>
      <c r="K16" s="2">
        <v>799</v>
      </c>
      <c r="L16" s="3">
        <v>1</v>
      </c>
      <c r="M16" s="4">
        <v>0</v>
      </c>
      <c r="N16" s="2">
        <v>212.39</v>
      </c>
      <c r="O16" t="s">
        <v>224</v>
      </c>
      <c r="P16" t="s">
        <v>228</v>
      </c>
      <c r="Q16" s="4">
        <f>Sales_Data[[#This Row],[Profit]]/Sales_Data[[#This Row],[Sales]]</f>
        <v>0.26581977471839796</v>
      </c>
    </row>
    <row r="17" spans="1:17" x14ac:dyDescent="0.25">
      <c r="A17" t="s">
        <v>31</v>
      </c>
      <c r="B17" s="1">
        <v>45693</v>
      </c>
      <c r="C17" t="s">
        <v>128</v>
      </c>
      <c r="D17" t="s">
        <v>155</v>
      </c>
      <c r="E17" t="s">
        <v>177</v>
      </c>
      <c r="F17" t="s">
        <v>186</v>
      </c>
      <c r="G17" t="s">
        <v>196</v>
      </c>
      <c r="H17" t="s">
        <v>201</v>
      </c>
      <c r="I17" t="s">
        <v>207</v>
      </c>
      <c r="J17" t="s">
        <v>216</v>
      </c>
      <c r="K17" s="2">
        <v>308750</v>
      </c>
      <c r="L17" s="3">
        <v>5</v>
      </c>
      <c r="M17" s="4">
        <v>0.05</v>
      </c>
      <c r="N17" s="2">
        <v>32628.17</v>
      </c>
      <c r="O17" t="s">
        <v>225</v>
      </c>
      <c r="P17" t="s">
        <v>226</v>
      </c>
      <c r="Q17" s="4">
        <f>Sales_Data[[#This Row],[Profit]]/Sales_Data[[#This Row],[Sales]]</f>
        <v>0.10567828340080972</v>
      </c>
    </row>
    <row r="18" spans="1:17" x14ac:dyDescent="0.25">
      <c r="A18" t="s">
        <v>32</v>
      </c>
      <c r="B18" s="1">
        <v>46011</v>
      </c>
      <c r="C18" t="s">
        <v>125</v>
      </c>
      <c r="D18" t="s">
        <v>163</v>
      </c>
      <c r="E18" t="s">
        <v>171</v>
      </c>
      <c r="F18" t="s">
        <v>186</v>
      </c>
      <c r="G18" t="s">
        <v>191</v>
      </c>
      <c r="H18" t="s">
        <v>202</v>
      </c>
      <c r="I18" t="s">
        <v>210</v>
      </c>
      <c r="J18" t="s">
        <v>219</v>
      </c>
      <c r="K18" s="2">
        <v>2698.2</v>
      </c>
      <c r="L18" s="3">
        <v>2</v>
      </c>
      <c r="M18" s="4">
        <v>0.1</v>
      </c>
      <c r="N18" s="2">
        <v>431.17</v>
      </c>
      <c r="O18" t="s">
        <v>224</v>
      </c>
      <c r="P18" t="s">
        <v>227</v>
      </c>
      <c r="Q18" s="4">
        <f>Sales_Data[[#This Row],[Profit]]/Sales_Data[[#This Row],[Sales]]</f>
        <v>0.15979912534282115</v>
      </c>
    </row>
    <row r="19" spans="1:17" x14ac:dyDescent="0.25">
      <c r="A19" t="s">
        <v>33</v>
      </c>
      <c r="B19" s="1">
        <v>45690</v>
      </c>
      <c r="C19" t="s">
        <v>121</v>
      </c>
      <c r="D19" t="s">
        <v>163</v>
      </c>
      <c r="E19" t="s">
        <v>179</v>
      </c>
      <c r="F19" t="s">
        <v>187</v>
      </c>
      <c r="G19" t="s">
        <v>194</v>
      </c>
      <c r="H19" t="s">
        <v>200</v>
      </c>
      <c r="I19" t="s">
        <v>204</v>
      </c>
      <c r="J19" t="s">
        <v>213</v>
      </c>
      <c r="K19" s="2">
        <v>8997</v>
      </c>
      <c r="L19" s="3">
        <v>3</v>
      </c>
      <c r="M19" s="4">
        <v>0</v>
      </c>
      <c r="N19" s="2">
        <v>1778.36</v>
      </c>
      <c r="O19" t="s">
        <v>223</v>
      </c>
      <c r="P19" t="s">
        <v>226</v>
      </c>
      <c r="Q19" s="4">
        <f>Sales_Data[[#This Row],[Profit]]/Sales_Data[[#This Row],[Sales]]</f>
        <v>0.19766144270312325</v>
      </c>
    </row>
    <row r="20" spans="1:17" x14ac:dyDescent="0.25">
      <c r="A20" t="s">
        <v>34</v>
      </c>
      <c r="B20" s="1">
        <v>45775</v>
      </c>
      <c r="C20" t="s">
        <v>129</v>
      </c>
      <c r="D20" t="s">
        <v>154</v>
      </c>
      <c r="E20" t="s">
        <v>173</v>
      </c>
      <c r="F20" t="s">
        <v>186</v>
      </c>
      <c r="G20" t="s">
        <v>192</v>
      </c>
      <c r="H20" t="s">
        <v>199</v>
      </c>
      <c r="I20" t="s">
        <v>203</v>
      </c>
      <c r="J20" t="s">
        <v>212</v>
      </c>
      <c r="K20" s="2">
        <v>29999</v>
      </c>
      <c r="L20" s="3">
        <v>1</v>
      </c>
      <c r="M20" s="4">
        <v>0</v>
      </c>
      <c r="N20" s="2">
        <v>7557.56</v>
      </c>
      <c r="O20" t="s">
        <v>222</v>
      </c>
      <c r="P20" t="s">
        <v>226</v>
      </c>
      <c r="Q20" s="4">
        <f>Sales_Data[[#This Row],[Profit]]/Sales_Data[[#This Row],[Sales]]</f>
        <v>0.25192706423547451</v>
      </c>
    </row>
    <row r="21" spans="1:17" x14ac:dyDescent="0.25">
      <c r="A21" t="s">
        <v>35</v>
      </c>
      <c r="B21" s="1">
        <v>45725</v>
      </c>
      <c r="C21" t="s">
        <v>125</v>
      </c>
      <c r="D21" t="s">
        <v>163</v>
      </c>
      <c r="E21" t="s">
        <v>173</v>
      </c>
      <c r="F21" t="s">
        <v>186</v>
      </c>
      <c r="G21" t="s">
        <v>192</v>
      </c>
      <c r="H21" t="s">
        <v>202</v>
      </c>
      <c r="I21" t="s">
        <v>210</v>
      </c>
      <c r="J21" t="s">
        <v>219</v>
      </c>
      <c r="K21" s="2">
        <v>119996</v>
      </c>
      <c r="L21" s="3">
        <v>5</v>
      </c>
      <c r="M21" s="4">
        <v>0.2</v>
      </c>
      <c r="N21" s="2">
        <v>20943.41</v>
      </c>
      <c r="O21" t="s">
        <v>225</v>
      </c>
      <c r="P21" t="s">
        <v>227</v>
      </c>
      <c r="Q21" s="4">
        <f>Sales_Data[[#This Row],[Profit]]/Sales_Data[[#This Row],[Sales]]</f>
        <v>0.17453423447448249</v>
      </c>
    </row>
    <row r="22" spans="1:17" x14ac:dyDescent="0.25">
      <c r="A22" t="s">
        <v>36</v>
      </c>
      <c r="B22" s="1">
        <v>45839</v>
      </c>
      <c r="C22" t="s">
        <v>130</v>
      </c>
      <c r="D22" t="s">
        <v>158</v>
      </c>
      <c r="E22" t="s">
        <v>173</v>
      </c>
      <c r="F22" t="s">
        <v>186</v>
      </c>
      <c r="G22" t="s">
        <v>192</v>
      </c>
      <c r="H22" t="s">
        <v>199</v>
      </c>
      <c r="I22" t="s">
        <v>203</v>
      </c>
      <c r="J22" t="s">
        <v>212</v>
      </c>
      <c r="K22" s="2">
        <v>101996.6</v>
      </c>
      <c r="L22" s="3">
        <v>4</v>
      </c>
      <c r="M22" s="4">
        <v>0.15</v>
      </c>
      <c r="N22" s="2">
        <v>17686.71</v>
      </c>
      <c r="O22" t="s">
        <v>222</v>
      </c>
      <c r="P22" t="s">
        <v>226</v>
      </c>
      <c r="Q22" s="4">
        <f>Sales_Data[[#This Row],[Profit]]/Sales_Data[[#This Row],[Sales]]</f>
        <v>0.17340489781031915</v>
      </c>
    </row>
    <row r="23" spans="1:17" x14ac:dyDescent="0.25">
      <c r="A23" t="s">
        <v>37</v>
      </c>
      <c r="B23" s="1">
        <v>45713</v>
      </c>
      <c r="C23" t="s">
        <v>131</v>
      </c>
      <c r="D23" t="s">
        <v>160</v>
      </c>
      <c r="E23" t="s">
        <v>169</v>
      </c>
      <c r="F23" t="s">
        <v>184</v>
      </c>
      <c r="G23" t="s">
        <v>189</v>
      </c>
      <c r="H23" t="s">
        <v>199</v>
      </c>
      <c r="I23" t="s">
        <v>203</v>
      </c>
      <c r="J23" t="s">
        <v>212</v>
      </c>
      <c r="K23" s="2">
        <v>1138.0999999999999</v>
      </c>
      <c r="L23" s="3">
        <v>2</v>
      </c>
      <c r="M23" s="4">
        <v>0.05</v>
      </c>
      <c r="N23" s="2">
        <v>134.34</v>
      </c>
      <c r="O23" t="s">
        <v>225</v>
      </c>
      <c r="P23" t="s">
        <v>228</v>
      </c>
      <c r="Q23" s="4">
        <f>Sales_Data[[#This Row],[Profit]]/Sales_Data[[#This Row],[Sales]]</f>
        <v>0.11803883665758721</v>
      </c>
    </row>
    <row r="24" spans="1:17" x14ac:dyDescent="0.25">
      <c r="A24" t="s">
        <v>38</v>
      </c>
      <c r="B24" s="1">
        <v>45696</v>
      </c>
      <c r="C24" t="s">
        <v>132</v>
      </c>
      <c r="D24" t="s">
        <v>156</v>
      </c>
      <c r="E24" t="s">
        <v>170</v>
      </c>
      <c r="F24" t="s">
        <v>185</v>
      </c>
      <c r="G24" t="s">
        <v>190</v>
      </c>
      <c r="H24" t="s">
        <v>201</v>
      </c>
      <c r="I24" t="s">
        <v>205</v>
      </c>
      <c r="J24" t="s">
        <v>214</v>
      </c>
      <c r="K24" s="2">
        <v>22396.799999999999</v>
      </c>
      <c r="L24" s="3">
        <v>4</v>
      </c>
      <c r="M24" s="4">
        <v>0.2</v>
      </c>
      <c r="N24" s="2">
        <v>2230.31</v>
      </c>
      <c r="O24" t="s">
        <v>222</v>
      </c>
      <c r="P24" t="s">
        <v>228</v>
      </c>
      <c r="Q24" s="4">
        <f>Sales_Data[[#This Row],[Profit]]/Sales_Data[[#This Row],[Sales]]</f>
        <v>9.9581636662380346E-2</v>
      </c>
    </row>
    <row r="25" spans="1:17" x14ac:dyDescent="0.25">
      <c r="A25" t="s">
        <v>39</v>
      </c>
      <c r="B25" s="1">
        <v>45904</v>
      </c>
      <c r="C25" t="s">
        <v>128</v>
      </c>
      <c r="D25" t="s">
        <v>160</v>
      </c>
      <c r="E25" t="s">
        <v>179</v>
      </c>
      <c r="F25" t="s">
        <v>187</v>
      </c>
      <c r="G25" t="s">
        <v>194</v>
      </c>
      <c r="H25" t="s">
        <v>201</v>
      </c>
      <c r="I25" t="s">
        <v>207</v>
      </c>
      <c r="J25" t="s">
        <v>216</v>
      </c>
      <c r="K25" s="2">
        <v>5098.3</v>
      </c>
      <c r="L25" s="3">
        <v>2</v>
      </c>
      <c r="M25" s="4">
        <v>0.15</v>
      </c>
      <c r="N25" s="2">
        <v>1328.05</v>
      </c>
      <c r="O25" t="s">
        <v>223</v>
      </c>
      <c r="P25" t="s">
        <v>227</v>
      </c>
      <c r="Q25" s="4">
        <f>Sales_Data[[#This Row],[Profit]]/Sales_Data[[#This Row],[Sales]]</f>
        <v>0.26048879038110739</v>
      </c>
    </row>
    <row r="26" spans="1:17" x14ac:dyDescent="0.25">
      <c r="A26" t="s">
        <v>40</v>
      </c>
      <c r="B26" s="1">
        <v>45804</v>
      </c>
      <c r="C26" t="s">
        <v>123</v>
      </c>
      <c r="D26" t="s">
        <v>157</v>
      </c>
      <c r="E26" t="s">
        <v>177</v>
      </c>
      <c r="F26" t="s">
        <v>186</v>
      </c>
      <c r="G26" t="s">
        <v>196</v>
      </c>
      <c r="H26" t="s">
        <v>200</v>
      </c>
      <c r="I26" t="s">
        <v>209</v>
      </c>
      <c r="J26" t="s">
        <v>218</v>
      </c>
      <c r="K26" s="2">
        <v>208000</v>
      </c>
      <c r="L26" s="3">
        <v>4</v>
      </c>
      <c r="M26" s="4">
        <v>0.2</v>
      </c>
      <c r="N26" s="2">
        <v>44173.85</v>
      </c>
      <c r="O26" t="s">
        <v>225</v>
      </c>
      <c r="P26" t="s">
        <v>228</v>
      </c>
      <c r="Q26" s="4">
        <f>Sales_Data[[#This Row],[Profit]]/Sales_Data[[#This Row],[Sales]]</f>
        <v>0.21237427884615384</v>
      </c>
    </row>
    <row r="27" spans="1:17" x14ac:dyDescent="0.25">
      <c r="A27" t="s">
        <v>41</v>
      </c>
      <c r="B27" s="1">
        <v>45935</v>
      </c>
      <c r="C27" t="s">
        <v>118</v>
      </c>
      <c r="D27" t="s">
        <v>164</v>
      </c>
      <c r="E27" t="s">
        <v>173</v>
      </c>
      <c r="F27" t="s">
        <v>186</v>
      </c>
      <c r="G27" t="s">
        <v>192</v>
      </c>
      <c r="H27" t="s">
        <v>202</v>
      </c>
      <c r="I27" t="s">
        <v>206</v>
      </c>
      <c r="J27" t="s">
        <v>215</v>
      </c>
      <c r="K27" s="2">
        <v>26999.1</v>
      </c>
      <c r="L27" s="3">
        <v>1</v>
      </c>
      <c r="M27" s="4">
        <v>0.1</v>
      </c>
      <c r="N27" s="2">
        <v>2468.61</v>
      </c>
      <c r="O27" t="s">
        <v>225</v>
      </c>
      <c r="P27" t="s">
        <v>226</v>
      </c>
      <c r="Q27" s="4">
        <f>Sales_Data[[#This Row],[Profit]]/Sales_Data[[#This Row],[Sales]]</f>
        <v>9.1433047768258946E-2</v>
      </c>
    </row>
    <row r="28" spans="1:17" x14ac:dyDescent="0.25">
      <c r="A28" t="s">
        <v>42</v>
      </c>
      <c r="B28" s="1">
        <v>45753</v>
      </c>
      <c r="C28" t="s">
        <v>119</v>
      </c>
      <c r="D28" t="s">
        <v>162</v>
      </c>
      <c r="E28" t="s">
        <v>179</v>
      </c>
      <c r="F28" t="s">
        <v>187</v>
      </c>
      <c r="G28" t="s">
        <v>194</v>
      </c>
      <c r="H28" t="s">
        <v>201</v>
      </c>
      <c r="I28" t="s">
        <v>207</v>
      </c>
      <c r="J28" t="s">
        <v>216</v>
      </c>
      <c r="K28" s="2">
        <v>2399.1999999999998</v>
      </c>
      <c r="L28" s="3">
        <v>1</v>
      </c>
      <c r="M28" s="4">
        <v>0.2</v>
      </c>
      <c r="N28" s="2">
        <v>224.55</v>
      </c>
      <c r="O28" t="s">
        <v>223</v>
      </c>
      <c r="P28" t="s">
        <v>227</v>
      </c>
      <c r="Q28" s="4">
        <f>Sales_Data[[#This Row],[Profit]]/Sales_Data[[#This Row],[Sales]]</f>
        <v>9.3593697899299777E-2</v>
      </c>
    </row>
    <row r="29" spans="1:17" x14ac:dyDescent="0.25">
      <c r="A29" t="s">
        <v>43</v>
      </c>
      <c r="B29" s="1">
        <v>45872</v>
      </c>
      <c r="C29" t="s">
        <v>119</v>
      </c>
      <c r="D29" t="s">
        <v>161</v>
      </c>
      <c r="E29" t="s">
        <v>180</v>
      </c>
      <c r="F29" t="s">
        <v>186</v>
      </c>
      <c r="G29" t="s">
        <v>191</v>
      </c>
      <c r="H29" t="s">
        <v>201</v>
      </c>
      <c r="I29" t="s">
        <v>207</v>
      </c>
      <c r="J29" t="s">
        <v>216</v>
      </c>
      <c r="K29" s="2">
        <v>3596</v>
      </c>
      <c r="L29" s="3">
        <v>5</v>
      </c>
      <c r="M29" s="4">
        <v>0.2</v>
      </c>
      <c r="N29" s="2">
        <v>663.67</v>
      </c>
      <c r="O29" t="s">
        <v>224</v>
      </c>
      <c r="P29" t="s">
        <v>228</v>
      </c>
      <c r="Q29" s="4">
        <f>Sales_Data[[#This Row],[Profit]]/Sales_Data[[#This Row],[Sales]]</f>
        <v>0.18455784204671857</v>
      </c>
    </row>
    <row r="30" spans="1:17" x14ac:dyDescent="0.25">
      <c r="A30" t="s">
        <v>44</v>
      </c>
      <c r="B30" s="1">
        <v>45725</v>
      </c>
      <c r="C30" t="s">
        <v>133</v>
      </c>
      <c r="D30" t="s">
        <v>165</v>
      </c>
      <c r="E30" t="s">
        <v>169</v>
      </c>
      <c r="F30" t="s">
        <v>184</v>
      </c>
      <c r="G30" t="s">
        <v>189</v>
      </c>
      <c r="H30" t="s">
        <v>202</v>
      </c>
      <c r="I30" t="s">
        <v>206</v>
      </c>
      <c r="J30" t="s">
        <v>215</v>
      </c>
      <c r="K30" s="2">
        <v>1527.45</v>
      </c>
      <c r="L30" s="3">
        <v>3</v>
      </c>
      <c r="M30" s="4">
        <v>0.15</v>
      </c>
      <c r="N30" s="2">
        <v>218.78</v>
      </c>
      <c r="O30" t="s">
        <v>222</v>
      </c>
      <c r="P30" t="s">
        <v>228</v>
      </c>
      <c r="Q30" s="4">
        <f>Sales_Data[[#This Row],[Profit]]/Sales_Data[[#This Row],[Sales]]</f>
        <v>0.14323218435955351</v>
      </c>
    </row>
    <row r="31" spans="1:17" x14ac:dyDescent="0.25">
      <c r="A31" t="s">
        <v>45</v>
      </c>
      <c r="B31" s="1">
        <v>45917</v>
      </c>
      <c r="C31" t="s">
        <v>117</v>
      </c>
      <c r="D31" t="s">
        <v>162</v>
      </c>
      <c r="E31" t="s">
        <v>174</v>
      </c>
      <c r="F31" t="s">
        <v>185</v>
      </c>
      <c r="G31" t="s">
        <v>193</v>
      </c>
      <c r="H31" t="s">
        <v>199</v>
      </c>
      <c r="I31" t="s">
        <v>203</v>
      </c>
      <c r="J31" t="s">
        <v>212</v>
      </c>
      <c r="K31" s="2">
        <v>15672.15</v>
      </c>
      <c r="L31" s="3">
        <v>3</v>
      </c>
      <c r="M31" s="4">
        <v>0.05</v>
      </c>
      <c r="N31" s="2">
        <v>4179.01</v>
      </c>
      <c r="O31" t="s">
        <v>222</v>
      </c>
      <c r="P31" t="s">
        <v>228</v>
      </c>
      <c r="Q31" s="4">
        <f>Sales_Data[[#This Row],[Profit]]/Sales_Data[[#This Row],[Sales]]</f>
        <v>0.26665199095210296</v>
      </c>
    </row>
    <row r="32" spans="1:17" x14ac:dyDescent="0.25">
      <c r="A32" t="s">
        <v>46</v>
      </c>
      <c r="B32" s="1">
        <v>46018</v>
      </c>
      <c r="C32" t="s">
        <v>125</v>
      </c>
      <c r="D32" t="s">
        <v>156</v>
      </c>
      <c r="E32" t="s">
        <v>181</v>
      </c>
      <c r="F32" t="s">
        <v>185</v>
      </c>
      <c r="G32" t="s">
        <v>197</v>
      </c>
      <c r="H32" t="s">
        <v>202</v>
      </c>
      <c r="I32" t="s">
        <v>206</v>
      </c>
      <c r="J32" t="s">
        <v>215</v>
      </c>
      <c r="K32" s="2">
        <v>21597.599999999999</v>
      </c>
      <c r="L32" s="3">
        <v>3</v>
      </c>
      <c r="M32" s="4">
        <v>0.2</v>
      </c>
      <c r="N32" s="2">
        <v>5977.58</v>
      </c>
      <c r="O32" t="s">
        <v>222</v>
      </c>
      <c r="P32" t="s">
        <v>226</v>
      </c>
      <c r="Q32" s="4">
        <f>Sales_Data[[#This Row],[Profit]]/Sales_Data[[#This Row],[Sales]]</f>
        <v>0.27677056710004816</v>
      </c>
    </row>
    <row r="33" spans="1:17" x14ac:dyDescent="0.25">
      <c r="A33" t="s">
        <v>47</v>
      </c>
      <c r="B33" s="1">
        <v>45793</v>
      </c>
      <c r="C33" t="s">
        <v>134</v>
      </c>
      <c r="D33" t="s">
        <v>157</v>
      </c>
      <c r="E33" t="s">
        <v>175</v>
      </c>
      <c r="F33" t="s">
        <v>187</v>
      </c>
      <c r="G33" t="s">
        <v>194</v>
      </c>
      <c r="H33" t="s">
        <v>202</v>
      </c>
      <c r="I33" t="s">
        <v>206</v>
      </c>
      <c r="J33" t="s">
        <v>215</v>
      </c>
      <c r="K33" s="2">
        <v>1799</v>
      </c>
      <c r="L33" s="3">
        <v>1</v>
      </c>
      <c r="M33" s="4">
        <v>0</v>
      </c>
      <c r="N33" s="2">
        <v>411.04</v>
      </c>
      <c r="O33" t="s">
        <v>223</v>
      </c>
      <c r="P33" t="s">
        <v>227</v>
      </c>
      <c r="Q33" s="4">
        <f>Sales_Data[[#This Row],[Profit]]/Sales_Data[[#This Row],[Sales]]</f>
        <v>0.22848249027237355</v>
      </c>
    </row>
    <row r="34" spans="1:17" x14ac:dyDescent="0.25">
      <c r="A34" t="s">
        <v>48</v>
      </c>
      <c r="B34" s="1">
        <v>45916</v>
      </c>
      <c r="C34" t="s">
        <v>135</v>
      </c>
      <c r="D34" t="s">
        <v>163</v>
      </c>
      <c r="E34" t="s">
        <v>182</v>
      </c>
      <c r="F34" t="s">
        <v>186</v>
      </c>
      <c r="G34" t="s">
        <v>191</v>
      </c>
      <c r="H34" t="s">
        <v>201</v>
      </c>
      <c r="I34" t="s">
        <v>205</v>
      </c>
      <c r="J34" t="s">
        <v>214</v>
      </c>
      <c r="K34" s="2">
        <v>8996.4</v>
      </c>
      <c r="L34" s="3">
        <v>4</v>
      </c>
      <c r="M34" s="4">
        <v>0.1</v>
      </c>
      <c r="N34" s="2">
        <v>2348.67</v>
      </c>
      <c r="O34" t="s">
        <v>222</v>
      </c>
      <c r="P34" t="s">
        <v>228</v>
      </c>
      <c r="Q34" s="4">
        <f>Sales_Data[[#This Row],[Profit]]/Sales_Data[[#This Row],[Sales]]</f>
        <v>0.26106776043750834</v>
      </c>
    </row>
    <row r="35" spans="1:17" x14ac:dyDescent="0.25">
      <c r="A35" t="s">
        <v>49</v>
      </c>
      <c r="B35" s="1">
        <v>45828</v>
      </c>
      <c r="C35" t="s">
        <v>136</v>
      </c>
      <c r="D35" t="s">
        <v>164</v>
      </c>
      <c r="E35" t="s">
        <v>169</v>
      </c>
      <c r="F35" t="s">
        <v>184</v>
      </c>
      <c r="G35" t="s">
        <v>189</v>
      </c>
      <c r="H35" t="s">
        <v>200</v>
      </c>
      <c r="I35" t="s">
        <v>209</v>
      </c>
      <c r="J35" t="s">
        <v>218</v>
      </c>
      <c r="K35" s="2">
        <v>1078.2</v>
      </c>
      <c r="L35" s="3">
        <v>2</v>
      </c>
      <c r="M35" s="4">
        <v>0.1</v>
      </c>
      <c r="N35" s="2">
        <v>121.1</v>
      </c>
      <c r="O35" t="s">
        <v>225</v>
      </c>
      <c r="P35" t="s">
        <v>226</v>
      </c>
      <c r="Q35" s="4">
        <f>Sales_Data[[#This Row],[Profit]]/Sales_Data[[#This Row],[Sales]]</f>
        <v>0.11231682433685772</v>
      </c>
    </row>
    <row r="36" spans="1:17" x14ac:dyDescent="0.25">
      <c r="A36" t="s">
        <v>50</v>
      </c>
      <c r="B36" s="1">
        <v>46011</v>
      </c>
      <c r="C36" t="s">
        <v>124</v>
      </c>
      <c r="D36" t="s">
        <v>155</v>
      </c>
      <c r="E36" t="s">
        <v>172</v>
      </c>
      <c r="F36" t="s">
        <v>184</v>
      </c>
      <c r="G36" t="s">
        <v>189</v>
      </c>
      <c r="H36" t="s">
        <v>200</v>
      </c>
      <c r="I36" t="s">
        <v>204</v>
      </c>
      <c r="J36" t="s">
        <v>213</v>
      </c>
      <c r="K36" s="2">
        <v>1598.4</v>
      </c>
      <c r="L36" s="3">
        <v>2</v>
      </c>
      <c r="M36" s="4">
        <v>0.2</v>
      </c>
      <c r="N36" s="2">
        <v>139.38999999999999</v>
      </c>
      <c r="O36" t="s">
        <v>224</v>
      </c>
      <c r="P36" t="s">
        <v>226</v>
      </c>
      <c r="Q36" s="4">
        <f>Sales_Data[[#This Row],[Profit]]/Sales_Data[[#This Row],[Sales]]</f>
        <v>8.7205955955955941E-2</v>
      </c>
    </row>
    <row r="37" spans="1:17" x14ac:dyDescent="0.25">
      <c r="A37" t="s">
        <v>51</v>
      </c>
      <c r="B37" s="1">
        <v>45815</v>
      </c>
      <c r="C37" t="s">
        <v>137</v>
      </c>
      <c r="D37" t="s">
        <v>166</v>
      </c>
      <c r="E37" t="s">
        <v>183</v>
      </c>
      <c r="F37" t="s">
        <v>188</v>
      </c>
      <c r="G37" t="s">
        <v>198</v>
      </c>
      <c r="H37" t="s">
        <v>201</v>
      </c>
      <c r="I37" t="s">
        <v>205</v>
      </c>
      <c r="J37" t="s">
        <v>214</v>
      </c>
      <c r="K37" s="2">
        <v>5397</v>
      </c>
      <c r="L37" s="3">
        <v>3</v>
      </c>
      <c r="M37" s="4">
        <v>0</v>
      </c>
      <c r="N37" s="2">
        <v>1402.06</v>
      </c>
      <c r="O37" t="s">
        <v>223</v>
      </c>
      <c r="P37" t="s">
        <v>226</v>
      </c>
      <c r="Q37" s="4">
        <f>Sales_Data[[#This Row],[Profit]]/Sales_Data[[#This Row],[Sales]]</f>
        <v>0.25978506577728366</v>
      </c>
    </row>
    <row r="38" spans="1:17" x14ac:dyDescent="0.25">
      <c r="A38" t="s">
        <v>52</v>
      </c>
      <c r="B38" s="1">
        <v>45866</v>
      </c>
      <c r="C38" t="s">
        <v>138</v>
      </c>
      <c r="D38" t="s">
        <v>167</v>
      </c>
      <c r="E38" t="s">
        <v>173</v>
      </c>
      <c r="F38" t="s">
        <v>186</v>
      </c>
      <c r="G38" t="s">
        <v>192</v>
      </c>
      <c r="H38" t="s">
        <v>199</v>
      </c>
      <c r="I38" t="s">
        <v>208</v>
      </c>
      <c r="J38" t="s">
        <v>217</v>
      </c>
      <c r="K38" s="2">
        <v>142495.25</v>
      </c>
      <c r="L38" s="3">
        <v>5</v>
      </c>
      <c r="M38" s="4">
        <v>0.05</v>
      </c>
      <c r="N38" s="2">
        <v>37783.01</v>
      </c>
      <c r="O38" t="s">
        <v>223</v>
      </c>
      <c r="P38" t="s">
        <v>228</v>
      </c>
      <c r="Q38" s="4">
        <f>Sales_Data[[#This Row],[Profit]]/Sales_Data[[#This Row],[Sales]]</f>
        <v>0.26515276825016976</v>
      </c>
    </row>
    <row r="39" spans="1:17" x14ac:dyDescent="0.25">
      <c r="A39" t="s">
        <v>53</v>
      </c>
      <c r="B39" s="1">
        <v>45828</v>
      </c>
      <c r="C39" t="s">
        <v>139</v>
      </c>
      <c r="D39" t="s">
        <v>164</v>
      </c>
      <c r="E39" t="s">
        <v>178</v>
      </c>
      <c r="F39" t="s">
        <v>187</v>
      </c>
      <c r="G39" t="s">
        <v>194</v>
      </c>
      <c r="H39" t="s">
        <v>201</v>
      </c>
      <c r="I39" t="s">
        <v>205</v>
      </c>
      <c r="J39" t="s">
        <v>214</v>
      </c>
      <c r="K39" s="2">
        <v>3036.2</v>
      </c>
      <c r="L39" s="3">
        <v>4</v>
      </c>
      <c r="M39" s="4">
        <v>0.05</v>
      </c>
      <c r="N39" s="2">
        <v>404.91</v>
      </c>
      <c r="O39" t="s">
        <v>222</v>
      </c>
      <c r="P39" t="s">
        <v>227</v>
      </c>
      <c r="Q39" s="4">
        <f>Sales_Data[[#This Row],[Profit]]/Sales_Data[[#This Row],[Sales]]</f>
        <v>0.13336077992227127</v>
      </c>
    </row>
    <row r="40" spans="1:17" x14ac:dyDescent="0.25">
      <c r="A40" t="s">
        <v>54</v>
      </c>
      <c r="B40" s="1">
        <v>45893</v>
      </c>
      <c r="C40" t="s">
        <v>140</v>
      </c>
      <c r="D40" t="s">
        <v>163</v>
      </c>
      <c r="E40" t="s">
        <v>175</v>
      </c>
      <c r="F40" t="s">
        <v>187</v>
      </c>
      <c r="G40" t="s">
        <v>194</v>
      </c>
      <c r="H40" t="s">
        <v>199</v>
      </c>
      <c r="I40" t="s">
        <v>211</v>
      </c>
      <c r="J40" t="s">
        <v>220</v>
      </c>
      <c r="K40" s="2">
        <v>4857.3</v>
      </c>
      <c r="L40" s="3">
        <v>3</v>
      </c>
      <c r="M40" s="4">
        <v>0.1</v>
      </c>
      <c r="N40" s="2">
        <v>1185.7</v>
      </c>
      <c r="O40" t="s">
        <v>223</v>
      </c>
      <c r="P40" t="s">
        <v>228</v>
      </c>
      <c r="Q40" s="4">
        <f>Sales_Data[[#This Row],[Profit]]/Sales_Data[[#This Row],[Sales]]</f>
        <v>0.24410680830914294</v>
      </c>
    </row>
    <row r="41" spans="1:17" x14ac:dyDescent="0.25">
      <c r="A41" t="s">
        <v>55</v>
      </c>
      <c r="B41" s="1">
        <v>45693</v>
      </c>
      <c r="C41" t="s">
        <v>116</v>
      </c>
      <c r="D41" t="s">
        <v>159</v>
      </c>
      <c r="E41" t="s">
        <v>177</v>
      </c>
      <c r="F41" t="s">
        <v>186</v>
      </c>
      <c r="G41" t="s">
        <v>196</v>
      </c>
      <c r="H41" t="s">
        <v>201</v>
      </c>
      <c r="I41" t="s">
        <v>205</v>
      </c>
      <c r="J41" t="s">
        <v>214</v>
      </c>
      <c r="K41" s="2">
        <v>175500</v>
      </c>
      <c r="L41" s="3">
        <v>3</v>
      </c>
      <c r="M41" s="4">
        <v>0.1</v>
      </c>
      <c r="N41" s="2">
        <v>36556.01</v>
      </c>
      <c r="O41" t="s">
        <v>225</v>
      </c>
      <c r="P41" t="s">
        <v>226</v>
      </c>
      <c r="Q41" s="4">
        <f>Sales_Data[[#This Row],[Profit]]/Sales_Data[[#This Row],[Sales]]</f>
        <v>0.20829635327635329</v>
      </c>
    </row>
    <row r="42" spans="1:17" x14ac:dyDescent="0.25">
      <c r="A42" t="s">
        <v>56</v>
      </c>
      <c r="B42" s="1">
        <v>45749</v>
      </c>
      <c r="C42" t="s">
        <v>135</v>
      </c>
      <c r="D42" t="s">
        <v>155</v>
      </c>
      <c r="E42" t="s">
        <v>175</v>
      </c>
      <c r="F42" t="s">
        <v>187</v>
      </c>
      <c r="G42" t="s">
        <v>194</v>
      </c>
      <c r="H42" t="s">
        <v>202</v>
      </c>
      <c r="I42" t="s">
        <v>206</v>
      </c>
      <c r="J42" t="s">
        <v>215</v>
      </c>
      <c r="K42" s="2">
        <v>8095.5</v>
      </c>
      <c r="L42" s="3">
        <v>5</v>
      </c>
      <c r="M42" s="4">
        <v>0.1</v>
      </c>
      <c r="N42" s="2">
        <v>709.58</v>
      </c>
      <c r="O42" t="s">
        <v>225</v>
      </c>
      <c r="P42" t="s">
        <v>227</v>
      </c>
      <c r="Q42" s="4">
        <f>Sales_Data[[#This Row],[Profit]]/Sales_Data[[#This Row],[Sales]]</f>
        <v>8.7651164227039724E-2</v>
      </c>
    </row>
    <row r="43" spans="1:17" x14ac:dyDescent="0.25">
      <c r="A43" t="s">
        <v>57</v>
      </c>
      <c r="B43" s="1">
        <v>45717</v>
      </c>
      <c r="C43" t="s">
        <v>141</v>
      </c>
      <c r="D43" t="s">
        <v>161</v>
      </c>
      <c r="E43" t="s">
        <v>172</v>
      </c>
      <c r="F43" t="s">
        <v>184</v>
      </c>
      <c r="G43" t="s">
        <v>189</v>
      </c>
      <c r="H43" t="s">
        <v>202</v>
      </c>
      <c r="I43" t="s">
        <v>210</v>
      </c>
      <c r="J43" t="s">
        <v>219</v>
      </c>
      <c r="K43" s="2">
        <v>3196.8</v>
      </c>
      <c r="L43" s="3">
        <v>4</v>
      </c>
      <c r="M43" s="4">
        <v>0.2</v>
      </c>
      <c r="N43" s="2">
        <v>377.27</v>
      </c>
      <c r="O43" t="s">
        <v>222</v>
      </c>
      <c r="P43" t="s">
        <v>226</v>
      </c>
      <c r="Q43" s="4">
        <f>Sales_Data[[#This Row],[Profit]]/Sales_Data[[#This Row],[Sales]]</f>
        <v>0.11801488988988988</v>
      </c>
    </row>
    <row r="44" spans="1:17" x14ac:dyDescent="0.25">
      <c r="A44" t="s">
        <v>58</v>
      </c>
      <c r="B44" s="1">
        <v>45693</v>
      </c>
      <c r="C44" t="s">
        <v>130</v>
      </c>
      <c r="D44" t="s">
        <v>159</v>
      </c>
      <c r="E44" t="s">
        <v>170</v>
      </c>
      <c r="F44" t="s">
        <v>185</v>
      </c>
      <c r="G44" t="s">
        <v>190</v>
      </c>
      <c r="H44" t="s">
        <v>199</v>
      </c>
      <c r="I44" t="s">
        <v>203</v>
      </c>
      <c r="J44" t="s">
        <v>221</v>
      </c>
      <c r="K44" s="2">
        <v>16797.599999999999</v>
      </c>
      <c r="L44" s="3">
        <v>3</v>
      </c>
      <c r="M44" s="4">
        <v>0.2</v>
      </c>
      <c r="N44" s="2">
        <v>2398.41</v>
      </c>
      <c r="O44" t="s">
        <v>222</v>
      </c>
      <c r="P44" t="s">
        <v>226</v>
      </c>
      <c r="Q44" s="4">
        <f>Sales_Data[[#This Row],[Profit]]/Sales_Data[[#This Row],[Sales]]</f>
        <v>0.14278289755679383</v>
      </c>
    </row>
    <row r="45" spans="1:17" x14ac:dyDescent="0.25">
      <c r="A45" t="s">
        <v>59</v>
      </c>
      <c r="B45" s="1">
        <v>45825</v>
      </c>
      <c r="C45" t="s">
        <v>142</v>
      </c>
      <c r="D45" t="s">
        <v>158</v>
      </c>
      <c r="E45" t="s">
        <v>179</v>
      </c>
      <c r="F45" t="s">
        <v>187</v>
      </c>
      <c r="G45" t="s">
        <v>194</v>
      </c>
      <c r="H45" t="s">
        <v>202</v>
      </c>
      <c r="I45" t="s">
        <v>210</v>
      </c>
      <c r="J45" t="s">
        <v>219</v>
      </c>
      <c r="K45" s="2">
        <v>10796.4</v>
      </c>
      <c r="L45" s="3">
        <v>4</v>
      </c>
      <c r="M45" s="4">
        <v>0.1</v>
      </c>
      <c r="N45" s="2">
        <v>2060.84</v>
      </c>
      <c r="O45" t="s">
        <v>223</v>
      </c>
      <c r="P45" t="s">
        <v>227</v>
      </c>
      <c r="Q45" s="4">
        <f>Sales_Data[[#This Row],[Profit]]/Sales_Data[[#This Row],[Sales]]</f>
        <v>0.19088214590048536</v>
      </c>
    </row>
    <row r="46" spans="1:17" x14ac:dyDescent="0.25">
      <c r="A46" t="s">
        <v>60</v>
      </c>
      <c r="B46" s="1">
        <v>45812</v>
      </c>
      <c r="C46" t="s">
        <v>143</v>
      </c>
      <c r="D46" t="s">
        <v>161</v>
      </c>
      <c r="E46" t="s">
        <v>169</v>
      </c>
      <c r="F46" t="s">
        <v>184</v>
      </c>
      <c r="G46" t="s">
        <v>189</v>
      </c>
      <c r="H46" t="s">
        <v>200</v>
      </c>
      <c r="I46" t="s">
        <v>204</v>
      </c>
      <c r="J46" t="s">
        <v>213</v>
      </c>
      <c r="K46" s="2">
        <v>1916.8</v>
      </c>
      <c r="L46" s="3">
        <v>4</v>
      </c>
      <c r="M46" s="4">
        <v>0.2</v>
      </c>
      <c r="N46" s="2">
        <v>472.96</v>
      </c>
      <c r="O46" t="s">
        <v>224</v>
      </c>
      <c r="P46" t="s">
        <v>227</v>
      </c>
      <c r="Q46" s="4">
        <f>Sales_Data[[#This Row],[Profit]]/Sales_Data[[#This Row],[Sales]]</f>
        <v>0.24674457429048413</v>
      </c>
    </row>
    <row r="47" spans="1:17" x14ac:dyDescent="0.25">
      <c r="A47" t="s">
        <v>61</v>
      </c>
      <c r="B47" s="1">
        <v>45884</v>
      </c>
      <c r="C47" t="s">
        <v>144</v>
      </c>
      <c r="D47" t="s">
        <v>156</v>
      </c>
      <c r="E47" t="s">
        <v>173</v>
      </c>
      <c r="F47" t="s">
        <v>186</v>
      </c>
      <c r="G47" t="s">
        <v>192</v>
      </c>
      <c r="H47" t="s">
        <v>200</v>
      </c>
      <c r="I47" t="s">
        <v>209</v>
      </c>
      <c r="J47" t="s">
        <v>218</v>
      </c>
      <c r="K47" s="2">
        <v>47998.400000000001</v>
      </c>
      <c r="L47" s="3">
        <v>2</v>
      </c>
      <c r="M47" s="4">
        <v>0.2</v>
      </c>
      <c r="N47" s="2">
        <v>8382.31</v>
      </c>
      <c r="O47" t="s">
        <v>223</v>
      </c>
      <c r="P47" t="s">
        <v>226</v>
      </c>
      <c r="Q47" s="4">
        <f>Sales_Data[[#This Row],[Profit]]/Sales_Data[[#This Row],[Sales]]</f>
        <v>0.17463727957598585</v>
      </c>
    </row>
    <row r="48" spans="1:17" x14ac:dyDescent="0.25">
      <c r="A48" t="s">
        <v>62</v>
      </c>
      <c r="B48" s="1">
        <v>46002</v>
      </c>
      <c r="C48" t="s">
        <v>132</v>
      </c>
      <c r="D48" t="s">
        <v>155</v>
      </c>
      <c r="E48" t="s">
        <v>180</v>
      </c>
      <c r="F48" t="s">
        <v>186</v>
      </c>
      <c r="G48" t="s">
        <v>191</v>
      </c>
      <c r="H48" t="s">
        <v>202</v>
      </c>
      <c r="I48" t="s">
        <v>210</v>
      </c>
      <c r="J48" t="s">
        <v>219</v>
      </c>
      <c r="K48" s="2">
        <v>2562.15</v>
      </c>
      <c r="L48" s="3">
        <v>3</v>
      </c>
      <c r="M48" s="4">
        <v>0.05</v>
      </c>
      <c r="N48" s="2">
        <v>618.28</v>
      </c>
      <c r="O48" t="s">
        <v>223</v>
      </c>
      <c r="P48" t="s">
        <v>228</v>
      </c>
      <c r="Q48" s="4">
        <f>Sales_Data[[#This Row],[Profit]]/Sales_Data[[#This Row],[Sales]]</f>
        <v>0.24131295981890208</v>
      </c>
    </row>
    <row r="49" spans="1:17" x14ac:dyDescent="0.25">
      <c r="A49" t="s">
        <v>63</v>
      </c>
      <c r="B49" s="1">
        <v>45891</v>
      </c>
      <c r="C49" t="s">
        <v>124</v>
      </c>
      <c r="D49" t="s">
        <v>161</v>
      </c>
      <c r="E49" t="s">
        <v>177</v>
      </c>
      <c r="F49" t="s">
        <v>186</v>
      </c>
      <c r="G49" t="s">
        <v>196</v>
      </c>
      <c r="H49" t="s">
        <v>201</v>
      </c>
      <c r="I49" t="s">
        <v>205</v>
      </c>
      <c r="J49" t="s">
        <v>214</v>
      </c>
      <c r="K49" s="2">
        <v>208000</v>
      </c>
      <c r="L49" s="3">
        <v>4</v>
      </c>
      <c r="M49" s="4">
        <v>0.2</v>
      </c>
      <c r="N49" s="2">
        <v>24728.51</v>
      </c>
      <c r="O49" t="s">
        <v>225</v>
      </c>
      <c r="P49" t="s">
        <v>227</v>
      </c>
      <c r="Q49" s="4">
        <f>Sales_Data[[#This Row],[Profit]]/Sales_Data[[#This Row],[Sales]]</f>
        <v>0.1188870673076923</v>
      </c>
    </row>
    <row r="50" spans="1:17" x14ac:dyDescent="0.25">
      <c r="A50" t="s">
        <v>64</v>
      </c>
      <c r="B50" s="1">
        <v>45712</v>
      </c>
      <c r="C50" t="s">
        <v>136</v>
      </c>
      <c r="D50" t="s">
        <v>158</v>
      </c>
      <c r="E50" t="s">
        <v>170</v>
      </c>
      <c r="F50" t="s">
        <v>185</v>
      </c>
      <c r="G50" t="s">
        <v>190</v>
      </c>
      <c r="H50" t="s">
        <v>201</v>
      </c>
      <c r="I50" t="s">
        <v>207</v>
      </c>
      <c r="J50" t="s">
        <v>216</v>
      </c>
      <c r="K50" s="2">
        <v>26596.2</v>
      </c>
      <c r="L50" s="3">
        <v>4</v>
      </c>
      <c r="M50" s="4">
        <v>0.05</v>
      </c>
      <c r="N50" s="2">
        <v>3063.28</v>
      </c>
      <c r="O50" t="s">
        <v>225</v>
      </c>
      <c r="P50" t="s">
        <v>228</v>
      </c>
      <c r="Q50" s="4">
        <f>Sales_Data[[#This Row],[Profit]]/Sales_Data[[#This Row],[Sales]]</f>
        <v>0.11517735616366248</v>
      </c>
    </row>
    <row r="51" spans="1:17" x14ac:dyDescent="0.25">
      <c r="A51" t="s">
        <v>65</v>
      </c>
      <c r="B51" s="1">
        <v>45895</v>
      </c>
      <c r="C51" t="s">
        <v>134</v>
      </c>
      <c r="D51" t="s">
        <v>156</v>
      </c>
      <c r="E51" t="s">
        <v>183</v>
      </c>
      <c r="F51" t="s">
        <v>188</v>
      </c>
      <c r="G51" t="s">
        <v>198</v>
      </c>
      <c r="H51" t="s">
        <v>201</v>
      </c>
      <c r="I51" t="s">
        <v>207</v>
      </c>
      <c r="J51" t="s">
        <v>216</v>
      </c>
      <c r="K51" s="2">
        <v>7196</v>
      </c>
      <c r="L51" s="3">
        <v>5</v>
      </c>
      <c r="M51" s="4">
        <v>0.2</v>
      </c>
      <c r="N51" s="2">
        <v>1432.65</v>
      </c>
      <c r="O51" t="s">
        <v>225</v>
      </c>
      <c r="P51" t="s">
        <v>226</v>
      </c>
      <c r="Q51" s="4">
        <f>Sales_Data[[#This Row],[Profit]]/Sales_Data[[#This Row],[Sales]]</f>
        <v>0.19908977209560869</v>
      </c>
    </row>
    <row r="52" spans="1:17" x14ac:dyDescent="0.25">
      <c r="A52" t="s">
        <v>66</v>
      </c>
      <c r="B52" s="1">
        <v>45901</v>
      </c>
      <c r="C52" t="s">
        <v>145</v>
      </c>
      <c r="D52" t="s">
        <v>157</v>
      </c>
      <c r="E52" t="s">
        <v>175</v>
      </c>
      <c r="F52" t="s">
        <v>187</v>
      </c>
      <c r="G52" t="s">
        <v>194</v>
      </c>
      <c r="H52" t="s">
        <v>200</v>
      </c>
      <c r="I52" t="s">
        <v>209</v>
      </c>
      <c r="J52" t="s">
        <v>218</v>
      </c>
      <c r="K52" s="2">
        <v>6476.4</v>
      </c>
      <c r="L52" s="3">
        <v>4</v>
      </c>
      <c r="M52" s="4">
        <v>0.1</v>
      </c>
      <c r="N52" s="2">
        <v>1491.87</v>
      </c>
      <c r="O52" t="s">
        <v>224</v>
      </c>
      <c r="P52" t="s">
        <v>226</v>
      </c>
      <c r="Q52" s="4">
        <f>Sales_Data[[#This Row],[Profit]]/Sales_Data[[#This Row],[Sales]]</f>
        <v>0.23035482675560495</v>
      </c>
    </row>
    <row r="53" spans="1:17" x14ac:dyDescent="0.25">
      <c r="A53" t="s">
        <v>67</v>
      </c>
      <c r="B53" s="1">
        <v>45804</v>
      </c>
      <c r="C53" t="s">
        <v>124</v>
      </c>
      <c r="D53" t="s">
        <v>156</v>
      </c>
      <c r="E53" t="s">
        <v>174</v>
      </c>
      <c r="F53" t="s">
        <v>185</v>
      </c>
      <c r="G53" t="s">
        <v>193</v>
      </c>
      <c r="H53" t="s">
        <v>201</v>
      </c>
      <c r="I53" t="s">
        <v>205</v>
      </c>
      <c r="J53" t="s">
        <v>214</v>
      </c>
      <c r="K53" s="2">
        <v>9898.2000000000007</v>
      </c>
      <c r="L53" s="3">
        <v>2</v>
      </c>
      <c r="M53" s="4">
        <v>0.1</v>
      </c>
      <c r="N53" s="2">
        <v>1456.71</v>
      </c>
      <c r="O53" t="s">
        <v>222</v>
      </c>
      <c r="P53" t="s">
        <v>228</v>
      </c>
      <c r="Q53" s="4">
        <f>Sales_Data[[#This Row],[Profit]]/Sales_Data[[#This Row],[Sales]]</f>
        <v>0.14716918227556525</v>
      </c>
    </row>
    <row r="54" spans="1:17" x14ac:dyDescent="0.25">
      <c r="A54" t="s">
        <v>68</v>
      </c>
      <c r="B54" s="1">
        <v>46019</v>
      </c>
      <c r="C54" t="s">
        <v>146</v>
      </c>
      <c r="D54" t="s">
        <v>154</v>
      </c>
      <c r="E54" t="s">
        <v>171</v>
      </c>
      <c r="F54" t="s">
        <v>186</v>
      </c>
      <c r="G54" t="s">
        <v>191</v>
      </c>
      <c r="H54" t="s">
        <v>201</v>
      </c>
      <c r="I54" t="s">
        <v>205</v>
      </c>
      <c r="J54" t="s">
        <v>214</v>
      </c>
      <c r="K54" s="2">
        <v>2998</v>
      </c>
      <c r="L54" s="3">
        <v>2</v>
      </c>
      <c r="M54" s="4">
        <v>0</v>
      </c>
      <c r="N54" s="2">
        <v>488.59</v>
      </c>
      <c r="O54" t="s">
        <v>224</v>
      </c>
      <c r="P54" t="s">
        <v>226</v>
      </c>
      <c r="Q54" s="4">
        <f>Sales_Data[[#This Row],[Profit]]/Sales_Data[[#This Row],[Sales]]</f>
        <v>0.16297198132088059</v>
      </c>
    </row>
    <row r="55" spans="1:17" x14ac:dyDescent="0.25">
      <c r="A55" t="s">
        <v>69</v>
      </c>
      <c r="B55" s="1">
        <v>45857</v>
      </c>
      <c r="C55" t="s">
        <v>142</v>
      </c>
      <c r="D55" t="s">
        <v>163</v>
      </c>
      <c r="E55" t="s">
        <v>174</v>
      </c>
      <c r="F55" t="s">
        <v>185</v>
      </c>
      <c r="G55" t="s">
        <v>193</v>
      </c>
      <c r="H55" t="s">
        <v>200</v>
      </c>
      <c r="I55" t="s">
        <v>204</v>
      </c>
      <c r="J55" t="s">
        <v>213</v>
      </c>
      <c r="K55" s="2">
        <v>27495</v>
      </c>
      <c r="L55" s="3">
        <v>5</v>
      </c>
      <c r="M55" s="4">
        <v>0</v>
      </c>
      <c r="N55" s="2">
        <v>6910.77</v>
      </c>
      <c r="O55" t="s">
        <v>225</v>
      </c>
      <c r="P55" t="s">
        <v>227</v>
      </c>
      <c r="Q55" s="4">
        <f>Sales_Data[[#This Row],[Profit]]/Sales_Data[[#This Row],[Sales]]</f>
        <v>0.25134642662302237</v>
      </c>
    </row>
    <row r="56" spans="1:17" x14ac:dyDescent="0.25">
      <c r="A56" t="s">
        <v>70</v>
      </c>
      <c r="B56" s="1">
        <v>45872</v>
      </c>
      <c r="C56" t="s">
        <v>120</v>
      </c>
      <c r="D56" t="s">
        <v>167</v>
      </c>
      <c r="E56" t="s">
        <v>177</v>
      </c>
      <c r="F56" t="s">
        <v>186</v>
      </c>
      <c r="G56" t="s">
        <v>196</v>
      </c>
      <c r="H56" t="s">
        <v>202</v>
      </c>
      <c r="I56" t="s">
        <v>210</v>
      </c>
      <c r="J56" t="s">
        <v>219</v>
      </c>
      <c r="K56" s="2">
        <v>260000</v>
      </c>
      <c r="L56" s="3">
        <v>5</v>
      </c>
      <c r="M56" s="4">
        <v>0.2</v>
      </c>
      <c r="N56" s="2">
        <v>62393.14</v>
      </c>
      <c r="O56" t="s">
        <v>223</v>
      </c>
      <c r="P56" t="s">
        <v>227</v>
      </c>
      <c r="Q56" s="4">
        <f>Sales_Data[[#This Row],[Profit]]/Sales_Data[[#This Row],[Sales]]</f>
        <v>0.23997361538461537</v>
      </c>
    </row>
    <row r="57" spans="1:17" x14ac:dyDescent="0.25">
      <c r="A57" t="s">
        <v>71</v>
      </c>
      <c r="B57" s="1">
        <v>45857</v>
      </c>
      <c r="C57" t="s">
        <v>147</v>
      </c>
      <c r="D57" t="s">
        <v>156</v>
      </c>
      <c r="E57" t="s">
        <v>173</v>
      </c>
      <c r="F57" t="s">
        <v>186</v>
      </c>
      <c r="G57" t="s">
        <v>192</v>
      </c>
      <c r="H57" t="s">
        <v>202</v>
      </c>
      <c r="I57" t="s">
        <v>210</v>
      </c>
      <c r="J57" t="s">
        <v>219</v>
      </c>
      <c r="K57" s="2">
        <v>76497.45</v>
      </c>
      <c r="L57" s="3">
        <v>3</v>
      </c>
      <c r="M57" s="4">
        <v>0.15</v>
      </c>
      <c r="N57" s="2">
        <v>17199.400000000001</v>
      </c>
      <c r="O57" t="s">
        <v>225</v>
      </c>
      <c r="P57" t="s">
        <v>228</v>
      </c>
      <c r="Q57" s="4">
        <f>Sales_Data[[#This Row],[Profit]]/Sales_Data[[#This Row],[Sales]]</f>
        <v>0.22483625271169172</v>
      </c>
    </row>
    <row r="58" spans="1:17" x14ac:dyDescent="0.25">
      <c r="A58" t="s">
        <v>72</v>
      </c>
      <c r="B58" s="1">
        <v>45997</v>
      </c>
      <c r="C58" t="s">
        <v>143</v>
      </c>
      <c r="D58" t="s">
        <v>161</v>
      </c>
      <c r="E58" t="s">
        <v>176</v>
      </c>
      <c r="F58" t="s">
        <v>184</v>
      </c>
      <c r="G58" t="s">
        <v>195</v>
      </c>
      <c r="H58" t="s">
        <v>199</v>
      </c>
      <c r="I58" t="s">
        <v>211</v>
      </c>
      <c r="J58" t="s">
        <v>220</v>
      </c>
      <c r="K58" s="2">
        <v>3499</v>
      </c>
      <c r="L58" s="3">
        <v>1</v>
      </c>
      <c r="M58" s="4">
        <v>0</v>
      </c>
      <c r="N58" s="2">
        <v>729.72</v>
      </c>
      <c r="O58" t="s">
        <v>223</v>
      </c>
      <c r="P58" t="s">
        <v>227</v>
      </c>
      <c r="Q58" s="4">
        <f>Sales_Data[[#This Row],[Profit]]/Sales_Data[[#This Row],[Sales]]</f>
        <v>0.20855101457559302</v>
      </c>
    </row>
    <row r="59" spans="1:17" x14ac:dyDescent="0.25">
      <c r="A59" t="s">
        <v>73</v>
      </c>
      <c r="B59" s="1">
        <v>45766</v>
      </c>
      <c r="C59" t="s">
        <v>127</v>
      </c>
      <c r="D59" t="s">
        <v>160</v>
      </c>
      <c r="E59" t="s">
        <v>171</v>
      </c>
      <c r="F59" t="s">
        <v>186</v>
      </c>
      <c r="G59" t="s">
        <v>191</v>
      </c>
      <c r="H59" t="s">
        <v>199</v>
      </c>
      <c r="I59" t="s">
        <v>208</v>
      </c>
      <c r="J59" t="s">
        <v>217</v>
      </c>
      <c r="K59" s="2">
        <v>5396.4</v>
      </c>
      <c r="L59" s="3">
        <v>4</v>
      </c>
      <c r="M59" s="4">
        <v>0.1</v>
      </c>
      <c r="N59" s="2">
        <v>795.97</v>
      </c>
      <c r="O59" t="s">
        <v>225</v>
      </c>
      <c r="P59" t="s">
        <v>227</v>
      </c>
      <c r="Q59" s="4">
        <f>Sales_Data[[#This Row],[Profit]]/Sales_Data[[#This Row],[Sales]]</f>
        <v>0.14750018530872436</v>
      </c>
    </row>
    <row r="60" spans="1:17" x14ac:dyDescent="0.25">
      <c r="A60" t="s">
        <v>74</v>
      </c>
      <c r="B60" s="1">
        <v>45898</v>
      </c>
      <c r="C60" t="s">
        <v>119</v>
      </c>
      <c r="D60" t="s">
        <v>168</v>
      </c>
      <c r="E60" t="s">
        <v>178</v>
      </c>
      <c r="F60" t="s">
        <v>187</v>
      </c>
      <c r="G60" t="s">
        <v>194</v>
      </c>
      <c r="H60" t="s">
        <v>200</v>
      </c>
      <c r="I60" t="s">
        <v>209</v>
      </c>
      <c r="J60" t="s">
        <v>218</v>
      </c>
      <c r="K60" s="2">
        <v>639.20000000000005</v>
      </c>
      <c r="L60" s="3">
        <v>1</v>
      </c>
      <c r="M60" s="4">
        <v>0.2</v>
      </c>
      <c r="N60" s="2">
        <v>57.79</v>
      </c>
      <c r="O60" t="s">
        <v>224</v>
      </c>
      <c r="P60" t="s">
        <v>228</v>
      </c>
      <c r="Q60" s="4">
        <f>Sales_Data[[#This Row],[Profit]]/Sales_Data[[#This Row],[Sales]]</f>
        <v>9.0409887359198984E-2</v>
      </c>
    </row>
    <row r="61" spans="1:17" x14ac:dyDescent="0.25">
      <c r="A61" t="s">
        <v>75</v>
      </c>
      <c r="B61" s="1">
        <v>45784</v>
      </c>
      <c r="C61" t="s">
        <v>147</v>
      </c>
      <c r="D61" t="s">
        <v>167</v>
      </c>
      <c r="E61" t="s">
        <v>169</v>
      </c>
      <c r="F61" t="s">
        <v>184</v>
      </c>
      <c r="G61" t="s">
        <v>189</v>
      </c>
      <c r="H61" t="s">
        <v>199</v>
      </c>
      <c r="I61" t="s">
        <v>203</v>
      </c>
      <c r="J61" t="s">
        <v>212</v>
      </c>
      <c r="K61" s="2">
        <v>1198</v>
      </c>
      <c r="L61" s="3">
        <v>2</v>
      </c>
      <c r="M61" s="4">
        <v>0</v>
      </c>
      <c r="N61" s="2">
        <v>244.71</v>
      </c>
      <c r="O61" t="s">
        <v>223</v>
      </c>
      <c r="P61" t="s">
        <v>228</v>
      </c>
      <c r="Q61" s="4">
        <f>Sales_Data[[#This Row],[Profit]]/Sales_Data[[#This Row],[Sales]]</f>
        <v>0.20426544240400668</v>
      </c>
    </row>
    <row r="62" spans="1:17" x14ac:dyDescent="0.25">
      <c r="A62" t="s">
        <v>76</v>
      </c>
      <c r="B62" s="1">
        <v>45846</v>
      </c>
      <c r="C62" t="s">
        <v>135</v>
      </c>
      <c r="D62" t="s">
        <v>156</v>
      </c>
      <c r="E62" t="s">
        <v>174</v>
      </c>
      <c r="F62" t="s">
        <v>185</v>
      </c>
      <c r="G62" t="s">
        <v>193</v>
      </c>
      <c r="H62" t="s">
        <v>199</v>
      </c>
      <c r="I62" t="s">
        <v>203</v>
      </c>
      <c r="J62" t="s">
        <v>221</v>
      </c>
      <c r="K62" s="2">
        <v>8798.4</v>
      </c>
      <c r="L62" s="3">
        <v>2</v>
      </c>
      <c r="M62" s="4">
        <v>0.2</v>
      </c>
      <c r="N62" s="2">
        <v>1772.43</v>
      </c>
      <c r="O62" t="s">
        <v>222</v>
      </c>
      <c r="P62" t="s">
        <v>228</v>
      </c>
      <c r="Q62" s="4">
        <f>Sales_Data[[#This Row],[Profit]]/Sales_Data[[#This Row],[Sales]]</f>
        <v>0.20144912711402074</v>
      </c>
    </row>
    <row r="63" spans="1:17" x14ac:dyDescent="0.25">
      <c r="A63" t="s">
        <v>77</v>
      </c>
      <c r="B63" s="1">
        <v>45952</v>
      </c>
      <c r="C63" t="s">
        <v>148</v>
      </c>
      <c r="D63" t="s">
        <v>157</v>
      </c>
      <c r="E63" t="s">
        <v>182</v>
      </c>
      <c r="F63" t="s">
        <v>186</v>
      </c>
      <c r="G63" t="s">
        <v>191</v>
      </c>
      <c r="H63" t="s">
        <v>199</v>
      </c>
      <c r="I63" t="s">
        <v>203</v>
      </c>
      <c r="J63" t="s">
        <v>212</v>
      </c>
      <c r="K63" s="2">
        <v>8496.6</v>
      </c>
      <c r="L63" s="3">
        <v>4</v>
      </c>
      <c r="M63" s="4">
        <v>0.15</v>
      </c>
      <c r="N63" s="2">
        <v>2279.59</v>
      </c>
      <c r="O63" t="s">
        <v>223</v>
      </c>
      <c r="P63" t="s">
        <v>228</v>
      </c>
      <c r="Q63" s="4">
        <f>Sales_Data[[#This Row],[Profit]]/Sales_Data[[#This Row],[Sales]]</f>
        <v>0.26829437657415905</v>
      </c>
    </row>
    <row r="64" spans="1:17" x14ac:dyDescent="0.25">
      <c r="A64" t="s">
        <v>78</v>
      </c>
      <c r="B64" s="1">
        <v>46008</v>
      </c>
      <c r="C64" t="s">
        <v>148</v>
      </c>
      <c r="D64" t="s">
        <v>154</v>
      </c>
      <c r="E64" t="s">
        <v>176</v>
      </c>
      <c r="F64" t="s">
        <v>184</v>
      </c>
      <c r="G64" t="s">
        <v>195</v>
      </c>
      <c r="H64" t="s">
        <v>201</v>
      </c>
      <c r="I64" t="s">
        <v>207</v>
      </c>
      <c r="J64" t="s">
        <v>216</v>
      </c>
      <c r="K64" s="2">
        <v>17495</v>
      </c>
      <c r="L64" s="3">
        <v>5</v>
      </c>
      <c r="M64" s="4">
        <v>0</v>
      </c>
      <c r="N64" s="2">
        <v>4185.6000000000004</v>
      </c>
      <c r="O64" t="s">
        <v>222</v>
      </c>
      <c r="P64" t="s">
        <v>227</v>
      </c>
      <c r="Q64" s="4">
        <f>Sales_Data[[#This Row],[Profit]]/Sales_Data[[#This Row],[Sales]]</f>
        <v>0.23924549871391829</v>
      </c>
    </row>
    <row r="65" spans="1:17" x14ac:dyDescent="0.25">
      <c r="A65" t="s">
        <v>79</v>
      </c>
      <c r="B65" s="1">
        <v>45989</v>
      </c>
      <c r="C65" t="s">
        <v>141</v>
      </c>
      <c r="D65" t="s">
        <v>155</v>
      </c>
      <c r="E65" t="s">
        <v>183</v>
      </c>
      <c r="F65" t="s">
        <v>188</v>
      </c>
      <c r="G65" t="s">
        <v>198</v>
      </c>
      <c r="H65" t="s">
        <v>200</v>
      </c>
      <c r="I65" t="s">
        <v>209</v>
      </c>
      <c r="J65" t="s">
        <v>218</v>
      </c>
      <c r="K65" s="2">
        <v>5397</v>
      </c>
      <c r="L65" s="3">
        <v>3</v>
      </c>
      <c r="M65" s="4">
        <v>0</v>
      </c>
      <c r="N65" s="2">
        <v>1348.79</v>
      </c>
      <c r="O65" t="s">
        <v>225</v>
      </c>
      <c r="P65" t="s">
        <v>228</v>
      </c>
      <c r="Q65" s="4">
        <f>Sales_Data[[#This Row],[Profit]]/Sales_Data[[#This Row],[Sales]]</f>
        <v>0.2499147674634056</v>
      </c>
    </row>
    <row r="66" spans="1:17" x14ac:dyDescent="0.25">
      <c r="A66" t="s">
        <v>80</v>
      </c>
      <c r="B66" s="1">
        <v>45880</v>
      </c>
      <c r="C66" t="s">
        <v>146</v>
      </c>
      <c r="D66" t="s">
        <v>154</v>
      </c>
      <c r="E66" t="s">
        <v>170</v>
      </c>
      <c r="F66" t="s">
        <v>185</v>
      </c>
      <c r="G66" t="s">
        <v>190</v>
      </c>
      <c r="H66" t="s">
        <v>202</v>
      </c>
      <c r="I66" t="s">
        <v>210</v>
      </c>
      <c r="J66" t="s">
        <v>219</v>
      </c>
      <c r="K66" s="2">
        <v>11198.4</v>
      </c>
      <c r="L66" s="3">
        <v>2</v>
      </c>
      <c r="M66" s="4">
        <v>0.2</v>
      </c>
      <c r="N66" s="2">
        <v>3058.22</v>
      </c>
      <c r="O66" t="s">
        <v>224</v>
      </c>
      <c r="P66" t="s">
        <v>226</v>
      </c>
      <c r="Q66" s="4">
        <f>Sales_Data[[#This Row],[Profit]]/Sales_Data[[#This Row],[Sales]]</f>
        <v>0.27309437062437492</v>
      </c>
    </row>
    <row r="67" spans="1:17" x14ac:dyDescent="0.25">
      <c r="A67" t="s">
        <v>81</v>
      </c>
      <c r="B67" s="1">
        <v>45795</v>
      </c>
      <c r="C67" t="s">
        <v>118</v>
      </c>
      <c r="D67" t="s">
        <v>160</v>
      </c>
      <c r="E67" t="s">
        <v>178</v>
      </c>
      <c r="F67" t="s">
        <v>187</v>
      </c>
      <c r="G67" t="s">
        <v>194</v>
      </c>
      <c r="H67" t="s">
        <v>200</v>
      </c>
      <c r="I67" t="s">
        <v>209</v>
      </c>
      <c r="J67" t="s">
        <v>218</v>
      </c>
      <c r="K67" s="2">
        <v>2277.15</v>
      </c>
      <c r="L67" s="3">
        <v>3</v>
      </c>
      <c r="M67" s="4">
        <v>0.05</v>
      </c>
      <c r="N67" s="2">
        <v>560.51</v>
      </c>
      <c r="O67" t="s">
        <v>222</v>
      </c>
      <c r="P67" t="s">
        <v>227</v>
      </c>
      <c r="Q67" s="4">
        <f>Sales_Data[[#This Row],[Profit]]/Sales_Data[[#This Row],[Sales]]</f>
        <v>0.24614540104955754</v>
      </c>
    </row>
    <row r="68" spans="1:17" x14ac:dyDescent="0.25">
      <c r="A68" t="s">
        <v>82</v>
      </c>
      <c r="B68" s="1">
        <v>45949</v>
      </c>
      <c r="C68" t="s">
        <v>123</v>
      </c>
      <c r="D68" t="s">
        <v>167</v>
      </c>
      <c r="E68" t="s">
        <v>179</v>
      </c>
      <c r="F68" t="s">
        <v>187</v>
      </c>
      <c r="G68" t="s">
        <v>194</v>
      </c>
      <c r="H68" t="s">
        <v>200</v>
      </c>
      <c r="I68" t="s">
        <v>204</v>
      </c>
      <c r="J68" t="s">
        <v>213</v>
      </c>
      <c r="K68" s="2">
        <v>12745.75</v>
      </c>
      <c r="L68" s="3">
        <v>5</v>
      </c>
      <c r="M68" s="4">
        <v>0.15</v>
      </c>
      <c r="N68" s="2">
        <v>1877.19</v>
      </c>
      <c r="O68" t="s">
        <v>225</v>
      </c>
      <c r="P68" t="s">
        <v>227</v>
      </c>
      <c r="Q68" s="4">
        <f>Sales_Data[[#This Row],[Profit]]/Sales_Data[[#This Row],[Sales]]</f>
        <v>0.14727968146244827</v>
      </c>
    </row>
    <row r="69" spans="1:17" x14ac:dyDescent="0.25">
      <c r="A69" t="s">
        <v>83</v>
      </c>
      <c r="B69" s="1">
        <v>45832</v>
      </c>
      <c r="C69" t="s">
        <v>135</v>
      </c>
      <c r="D69" t="s">
        <v>159</v>
      </c>
      <c r="E69" t="s">
        <v>171</v>
      </c>
      <c r="F69" t="s">
        <v>186</v>
      </c>
      <c r="G69" t="s">
        <v>191</v>
      </c>
      <c r="H69" t="s">
        <v>200</v>
      </c>
      <c r="I69" t="s">
        <v>204</v>
      </c>
      <c r="J69" t="s">
        <v>213</v>
      </c>
      <c r="K69" s="2">
        <v>3597.6</v>
      </c>
      <c r="L69" s="3">
        <v>3</v>
      </c>
      <c r="M69" s="4">
        <v>0.2</v>
      </c>
      <c r="N69" s="2">
        <v>792.32</v>
      </c>
      <c r="O69" t="s">
        <v>224</v>
      </c>
      <c r="P69" t="s">
        <v>226</v>
      </c>
      <c r="Q69" s="4">
        <f>Sales_Data[[#This Row],[Profit]]/Sales_Data[[#This Row],[Sales]]</f>
        <v>0.22023571269735381</v>
      </c>
    </row>
    <row r="70" spans="1:17" x14ac:dyDescent="0.25">
      <c r="A70" t="s">
        <v>84</v>
      </c>
      <c r="B70" s="1">
        <v>45908</v>
      </c>
      <c r="C70" t="s">
        <v>142</v>
      </c>
      <c r="D70" t="s">
        <v>163</v>
      </c>
      <c r="E70" t="s">
        <v>177</v>
      </c>
      <c r="F70" t="s">
        <v>186</v>
      </c>
      <c r="G70" t="s">
        <v>196</v>
      </c>
      <c r="H70" t="s">
        <v>201</v>
      </c>
      <c r="I70" t="s">
        <v>207</v>
      </c>
      <c r="J70" t="s">
        <v>216</v>
      </c>
      <c r="K70" s="2">
        <v>308750</v>
      </c>
      <c r="L70" s="3">
        <v>5</v>
      </c>
      <c r="M70" s="4">
        <v>0.05</v>
      </c>
      <c r="N70" s="2">
        <v>67345.13</v>
      </c>
      <c r="O70" t="s">
        <v>225</v>
      </c>
      <c r="P70" t="s">
        <v>227</v>
      </c>
      <c r="Q70" s="4">
        <f>Sales_Data[[#This Row],[Profit]]/Sales_Data[[#This Row],[Sales]]</f>
        <v>0.21812187854251014</v>
      </c>
    </row>
    <row r="71" spans="1:17" x14ac:dyDescent="0.25">
      <c r="A71" t="s">
        <v>85</v>
      </c>
      <c r="B71" s="1">
        <v>45865</v>
      </c>
      <c r="C71" t="s">
        <v>121</v>
      </c>
      <c r="D71" t="s">
        <v>165</v>
      </c>
      <c r="E71" t="s">
        <v>178</v>
      </c>
      <c r="F71" t="s">
        <v>187</v>
      </c>
      <c r="G71" t="s">
        <v>194</v>
      </c>
      <c r="H71" t="s">
        <v>199</v>
      </c>
      <c r="I71" t="s">
        <v>203</v>
      </c>
      <c r="J71" t="s">
        <v>212</v>
      </c>
      <c r="K71" s="2">
        <v>1438.2</v>
      </c>
      <c r="L71" s="3">
        <v>2</v>
      </c>
      <c r="M71" s="4">
        <v>0.1</v>
      </c>
      <c r="N71" s="2">
        <v>306.04000000000002</v>
      </c>
      <c r="O71" t="s">
        <v>224</v>
      </c>
      <c r="P71" t="s">
        <v>227</v>
      </c>
      <c r="Q71" s="4">
        <f>Sales_Data[[#This Row],[Profit]]/Sales_Data[[#This Row],[Sales]]</f>
        <v>0.21279376999026561</v>
      </c>
    </row>
    <row r="72" spans="1:17" x14ac:dyDescent="0.25">
      <c r="A72" t="s">
        <v>86</v>
      </c>
      <c r="B72" s="1">
        <v>45827</v>
      </c>
      <c r="C72" t="s">
        <v>138</v>
      </c>
      <c r="D72" t="s">
        <v>154</v>
      </c>
      <c r="E72" t="s">
        <v>183</v>
      </c>
      <c r="F72" t="s">
        <v>188</v>
      </c>
      <c r="G72" t="s">
        <v>198</v>
      </c>
      <c r="H72" t="s">
        <v>202</v>
      </c>
      <c r="I72" t="s">
        <v>210</v>
      </c>
      <c r="J72" t="s">
        <v>219</v>
      </c>
      <c r="K72" s="2">
        <v>4587.45</v>
      </c>
      <c r="L72" s="3">
        <v>3</v>
      </c>
      <c r="M72" s="4">
        <v>0.15</v>
      </c>
      <c r="N72" s="2">
        <v>615.55999999999995</v>
      </c>
      <c r="O72" t="s">
        <v>224</v>
      </c>
      <c r="P72" t="s">
        <v>228</v>
      </c>
      <c r="Q72" s="4">
        <f>Sales_Data[[#This Row],[Profit]]/Sales_Data[[#This Row],[Sales]]</f>
        <v>0.13418347883900641</v>
      </c>
    </row>
    <row r="73" spans="1:17" x14ac:dyDescent="0.25">
      <c r="A73" t="s">
        <v>87</v>
      </c>
      <c r="B73" s="1">
        <v>46011</v>
      </c>
      <c r="C73" t="s">
        <v>125</v>
      </c>
      <c r="D73" t="s">
        <v>155</v>
      </c>
      <c r="E73" t="s">
        <v>180</v>
      </c>
      <c r="F73" t="s">
        <v>186</v>
      </c>
      <c r="G73" t="s">
        <v>191</v>
      </c>
      <c r="H73" t="s">
        <v>201</v>
      </c>
      <c r="I73" t="s">
        <v>205</v>
      </c>
      <c r="J73" t="s">
        <v>214</v>
      </c>
      <c r="K73" s="2">
        <v>1708.1</v>
      </c>
      <c r="L73" s="3">
        <v>2</v>
      </c>
      <c r="M73" s="4">
        <v>0.05</v>
      </c>
      <c r="N73" s="2">
        <v>210.57</v>
      </c>
      <c r="O73" t="s">
        <v>225</v>
      </c>
      <c r="P73" t="s">
        <v>227</v>
      </c>
      <c r="Q73" s="4">
        <f>Sales_Data[[#This Row],[Profit]]/Sales_Data[[#This Row],[Sales]]</f>
        <v>0.12327732568350799</v>
      </c>
    </row>
    <row r="74" spans="1:17" x14ac:dyDescent="0.25">
      <c r="A74" t="s">
        <v>88</v>
      </c>
      <c r="B74" s="1">
        <v>45809</v>
      </c>
      <c r="C74" t="s">
        <v>140</v>
      </c>
      <c r="D74" t="s">
        <v>168</v>
      </c>
      <c r="E74" t="s">
        <v>172</v>
      </c>
      <c r="F74" t="s">
        <v>184</v>
      </c>
      <c r="G74" t="s">
        <v>189</v>
      </c>
      <c r="H74" t="s">
        <v>202</v>
      </c>
      <c r="I74" t="s">
        <v>206</v>
      </c>
      <c r="J74" t="s">
        <v>215</v>
      </c>
      <c r="K74" s="2">
        <v>1798.2</v>
      </c>
      <c r="L74" s="3">
        <v>2</v>
      </c>
      <c r="M74" s="4">
        <v>0.1</v>
      </c>
      <c r="N74" s="2">
        <v>208.39</v>
      </c>
      <c r="O74" t="s">
        <v>222</v>
      </c>
      <c r="P74" t="s">
        <v>226</v>
      </c>
      <c r="Q74" s="4">
        <f>Sales_Data[[#This Row],[Profit]]/Sales_Data[[#This Row],[Sales]]</f>
        <v>0.11588811033255476</v>
      </c>
    </row>
    <row r="75" spans="1:17" x14ac:dyDescent="0.25">
      <c r="A75" t="s">
        <v>89</v>
      </c>
      <c r="B75" s="1">
        <v>45941</v>
      </c>
      <c r="C75" t="s">
        <v>129</v>
      </c>
      <c r="D75" t="s">
        <v>164</v>
      </c>
      <c r="E75" t="s">
        <v>183</v>
      </c>
      <c r="F75" t="s">
        <v>188</v>
      </c>
      <c r="G75" t="s">
        <v>198</v>
      </c>
      <c r="H75" t="s">
        <v>201</v>
      </c>
      <c r="I75" t="s">
        <v>205</v>
      </c>
      <c r="J75" t="s">
        <v>214</v>
      </c>
      <c r="K75" s="2">
        <v>5127.1499999999996</v>
      </c>
      <c r="L75" s="3">
        <v>3</v>
      </c>
      <c r="M75" s="4">
        <v>0.05</v>
      </c>
      <c r="N75" s="2">
        <v>1064.26</v>
      </c>
      <c r="O75" t="s">
        <v>225</v>
      </c>
      <c r="P75" t="s">
        <v>228</v>
      </c>
      <c r="Q75" s="4">
        <f>Sales_Data[[#This Row],[Profit]]/Sales_Data[[#This Row],[Sales]]</f>
        <v>0.20757340822874307</v>
      </c>
    </row>
    <row r="76" spans="1:17" x14ac:dyDescent="0.25">
      <c r="A76" t="s">
        <v>90</v>
      </c>
      <c r="B76" s="1">
        <v>45883</v>
      </c>
      <c r="C76" t="s">
        <v>149</v>
      </c>
      <c r="D76" t="s">
        <v>156</v>
      </c>
      <c r="E76" t="s">
        <v>175</v>
      </c>
      <c r="F76" t="s">
        <v>187</v>
      </c>
      <c r="G76" t="s">
        <v>194</v>
      </c>
      <c r="H76" t="s">
        <v>199</v>
      </c>
      <c r="I76" t="s">
        <v>208</v>
      </c>
      <c r="J76" t="s">
        <v>217</v>
      </c>
      <c r="K76" s="2">
        <v>5127.1499999999996</v>
      </c>
      <c r="L76" s="3">
        <v>3</v>
      </c>
      <c r="M76" s="4">
        <v>0.05</v>
      </c>
      <c r="N76" s="2">
        <v>1400.22</v>
      </c>
      <c r="O76" t="s">
        <v>224</v>
      </c>
      <c r="P76" t="s">
        <v>227</v>
      </c>
      <c r="Q76" s="4">
        <f>Sales_Data[[#This Row],[Profit]]/Sales_Data[[#This Row],[Sales]]</f>
        <v>0.27309909013779587</v>
      </c>
    </row>
    <row r="77" spans="1:17" x14ac:dyDescent="0.25">
      <c r="A77" t="s">
        <v>91</v>
      </c>
      <c r="B77" s="1">
        <v>45953</v>
      </c>
      <c r="C77" t="s">
        <v>124</v>
      </c>
      <c r="D77" t="s">
        <v>156</v>
      </c>
      <c r="E77" t="s">
        <v>180</v>
      </c>
      <c r="F77" t="s">
        <v>186</v>
      </c>
      <c r="G77" t="s">
        <v>191</v>
      </c>
      <c r="H77" t="s">
        <v>199</v>
      </c>
      <c r="I77" t="s">
        <v>211</v>
      </c>
      <c r="J77" t="s">
        <v>220</v>
      </c>
      <c r="K77" s="2">
        <v>854.05</v>
      </c>
      <c r="L77" s="3">
        <v>1</v>
      </c>
      <c r="M77" s="4">
        <v>0.05</v>
      </c>
      <c r="N77" s="2">
        <v>93.81</v>
      </c>
      <c r="O77" t="s">
        <v>224</v>
      </c>
      <c r="P77" t="s">
        <v>228</v>
      </c>
      <c r="Q77" s="4">
        <f>Sales_Data[[#This Row],[Profit]]/Sales_Data[[#This Row],[Sales]]</f>
        <v>0.10984134418359581</v>
      </c>
    </row>
    <row r="78" spans="1:17" x14ac:dyDescent="0.25">
      <c r="A78" t="s">
        <v>92</v>
      </c>
      <c r="B78" s="1">
        <v>45974</v>
      </c>
      <c r="C78" t="s">
        <v>150</v>
      </c>
      <c r="D78" t="s">
        <v>161</v>
      </c>
      <c r="E78" t="s">
        <v>173</v>
      </c>
      <c r="F78" t="s">
        <v>186</v>
      </c>
      <c r="G78" t="s">
        <v>192</v>
      </c>
      <c r="H78" t="s">
        <v>199</v>
      </c>
      <c r="I78" t="s">
        <v>211</v>
      </c>
      <c r="J78" t="s">
        <v>220</v>
      </c>
      <c r="K78" s="2">
        <v>47998.400000000001</v>
      </c>
      <c r="L78" s="3">
        <v>2</v>
      </c>
      <c r="M78" s="4">
        <v>0.2</v>
      </c>
      <c r="N78" s="2">
        <v>7491.38</v>
      </c>
      <c r="O78" t="s">
        <v>225</v>
      </c>
      <c r="P78" t="s">
        <v>227</v>
      </c>
      <c r="Q78" s="4">
        <f>Sales_Data[[#This Row],[Profit]]/Sales_Data[[#This Row],[Sales]]</f>
        <v>0.15607561918730625</v>
      </c>
    </row>
    <row r="79" spans="1:17" x14ac:dyDescent="0.25">
      <c r="A79" t="s">
        <v>93</v>
      </c>
      <c r="B79" s="1">
        <v>45688</v>
      </c>
      <c r="C79" t="s">
        <v>151</v>
      </c>
      <c r="D79" t="s">
        <v>161</v>
      </c>
      <c r="E79" t="s">
        <v>175</v>
      </c>
      <c r="F79" t="s">
        <v>187</v>
      </c>
      <c r="G79" t="s">
        <v>194</v>
      </c>
      <c r="H79" t="s">
        <v>200</v>
      </c>
      <c r="I79" t="s">
        <v>209</v>
      </c>
      <c r="J79" t="s">
        <v>218</v>
      </c>
      <c r="K79" s="2">
        <v>8995</v>
      </c>
      <c r="L79" s="3">
        <v>5</v>
      </c>
      <c r="M79" s="4">
        <v>0</v>
      </c>
      <c r="N79" s="2">
        <v>2424.31</v>
      </c>
      <c r="O79" t="s">
        <v>223</v>
      </c>
      <c r="P79" t="s">
        <v>226</v>
      </c>
      <c r="Q79" s="4">
        <f>Sales_Data[[#This Row],[Profit]]/Sales_Data[[#This Row],[Sales]]</f>
        <v>0.26951750972762645</v>
      </c>
    </row>
    <row r="80" spans="1:17" x14ac:dyDescent="0.25">
      <c r="A80" t="s">
        <v>94</v>
      </c>
      <c r="B80" s="1">
        <v>45746</v>
      </c>
      <c r="C80" t="s">
        <v>132</v>
      </c>
      <c r="D80" t="s">
        <v>166</v>
      </c>
      <c r="E80" t="s">
        <v>173</v>
      </c>
      <c r="F80" t="s">
        <v>186</v>
      </c>
      <c r="G80" t="s">
        <v>192</v>
      </c>
      <c r="H80" t="s">
        <v>202</v>
      </c>
      <c r="I80" t="s">
        <v>206</v>
      </c>
      <c r="J80" t="s">
        <v>215</v>
      </c>
      <c r="K80" s="2">
        <v>149995</v>
      </c>
      <c r="L80" s="3">
        <v>5</v>
      </c>
      <c r="M80" s="4">
        <v>0</v>
      </c>
      <c r="N80" s="2">
        <v>16695.419999999998</v>
      </c>
      <c r="O80" t="s">
        <v>225</v>
      </c>
      <c r="P80" t="s">
        <v>227</v>
      </c>
      <c r="Q80" s="4">
        <f>Sales_Data[[#This Row],[Profit]]/Sales_Data[[#This Row],[Sales]]</f>
        <v>0.11130651021700722</v>
      </c>
    </row>
    <row r="81" spans="1:17" x14ac:dyDescent="0.25">
      <c r="A81" t="s">
        <v>95</v>
      </c>
      <c r="B81" s="1">
        <v>45805</v>
      </c>
      <c r="C81" t="s">
        <v>121</v>
      </c>
      <c r="D81" t="s">
        <v>164</v>
      </c>
      <c r="E81" t="s">
        <v>172</v>
      </c>
      <c r="F81" t="s">
        <v>184</v>
      </c>
      <c r="G81" t="s">
        <v>189</v>
      </c>
      <c r="H81" t="s">
        <v>200</v>
      </c>
      <c r="I81" t="s">
        <v>209</v>
      </c>
      <c r="J81" t="s">
        <v>218</v>
      </c>
      <c r="K81" s="2">
        <v>2547.4499999999998</v>
      </c>
      <c r="L81" s="3">
        <v>3</v>
      </c>
      <c r="M81" s="4">
        <v>0.15</v>
      </c>
      <c r="N81" s="2">
        <v>240.06</v>
      </c>
      <c r="O81" t="s">
        <v>223</v>
      </c>
      <c r="P81" t="s">
        <v>227</v>
      </c>
      <c r="Q81" s="4">
        <f>Sales_Data[[#This Row],[Profit]]/Sales_Data[[#This Row],[Sales]]</f>
        <v>9.4235411882470713E-2</v>
      </c>
    </row>
    <row r="82" spans="1:17" x14ac:dyDescent="0.25">
      <c r="A82" t="s">
        <v>96</v>
      </c>
      <c r="B82" s="1">
        <v>45773</v>
      </c>
      <c r="C82" t="s">
        <v>125</v>
      </c>
      <c r="D82" t="s">
        <v>155</v>
      </c>
      <c r="E82" t="s">
        <v>178</v>
      </c>
      <c r="F82" t="s">
        <v>187</v>
      </c>
      <c r="G82" t="s">
        <v>194</v>
      </c>
      <c r="H82" t="s">
        <v>201</v>
      </c>
      <c r="I82" t="s">
        <v>205</v>
      </c>
      <c r="J82" t="s">
        <v>214</v>
      </c>
      <c r="K82" s="2">
        <v>1438.2</v>
      </c>
      <c r="L82" s="3">
        <v>2</v>
      </c>
      <c r="M82" s="4">
        <v>0.1</v>
      </c>
      <c r="N82" s="2">
        <v>352.83</v>
      </c>
      <c r="O82" t="s">
        <v>222</v>
      </c>
      <c r="P82" t="s">
        <v>228</v>
      </c>
      <c r="Q82" s="4">
        <f>Sales_Data[[#This Row],[Profit]]/Sales_Data[[#This Row],[Sales]]</f>
        <v>0.24532749269920731</v>
      </c>
    </row>
    <row r="83" spans="1:17" x14ac:dyDescent="0.25">
      <c r="A83" t="s">
        <v>97</v>
      </c>
      <c r="B83" s="1">
        <v>45897</v>
      </c>
      <c r="C83" t="s">
        <v>152</v>
      </c>
      <c r="D83" t="s">
        <v>156</v>
      </c>
      <c r="E83" t="s">
        <v>171</v>
      </c>
      <c r="F83" t="s">
        <v>186</v>
      </c>
      <c r="G83" t="s">
        <v>191</v>
      </c>
      <c r="H83" t="s">
        <v>202</v>
      </c>
      <c r="I83" t="s">
        <v>210</v>
      </c>
      <c r="J83" t="s">
        <v>219</v>
      </c>
      <c r="K83" s="2">
        <v>3822.45</v>
      </c>
      <c r="L83" s="3">
        <v>3</v>
      </c>
      <c r="M83" s="4">
        <v>0.15</v>
      </c>
      <c r="N83" s="2">
        <v>1026.46</v>
      </c>
      <c r="O83" t="s">
        <v>225</v>
      </c>
      <c r="P83" t="s">
        <v>227</v>
      </c>
      <c r="Q83" s="4">
        <f>Sales_Data[[#This Row],[Profit]]/Sales_Data[[#This Row],[Sales]]</f>
        <v>0.26853457860796087</v>
      </c>
    </row>
    <row r="84" spans="1:17" x14ac:dyDescent="0.25">
      <c r="A84" t="s">
        <v>98</v>
      </c>
      <c r="B84" s="1">
        <v>45967</v>
      </c>
      <c r="C84" t="s">
        <v>127</v>
      </c>
      <c r="D84" t="s">
        <v>154</v>
      </c>
      <c r="E84" t="s">
        <v>180</v>
      </c>
      <c r="F84" t="s">
        <v>186</v>
      </c>
      <c r="G84" t="s">
        <v>191</v>
      </c>
      <c r="H84" t="s">
        <v>199</v>
      </c>
      <c r="I84" t="s">
        <v>211</v>
      </c>
      <c r="J84" t="s">
        <v>220</v>
      </c>
      <c r="K84" s="2">
        <v>2697</v>
      </c>
      <c r="L84" s="3">
        <v>3</v>
      </c>
      <c r="M84" s="4">
        <v>0</v>
      </c>
      <c r="N84" s="2">
        <v>265.02</v>
      </c>
      <c r="O84" t="s">
        <v>222</v>
      </c>
      <c r="P84" t="s">
        <v>226</v>
      </c>
      <c r="Q84" s="4">
        <f>Sales_Data[[#This Row],[Profit]]/Sales_Data[[#This Row],[Sales]]</f>
        <v>9.8264738598442702E-2</v>
      </c>
    </row>
    <row r="85" spans="1:17" x14ac:dyDescent="0.25">
      <c r="A85" t="s">
        <v>99</v>
      </c>
      <c r="B85" s="1">
        <v>45898</v>
      </c>
      <c r="C85" t="s">
        <v>139</v>
      </c>
      <c r="D85" t="s">
        <v>167</v>
      </c>
      <c r="E85" t="s">
        <v>175</v>
      </c>
      <c r="F85" t="s">
        <v>187</v>
      </c>
      <c r="G85" t="s">
        <v>194</v>
      </c>
      <c r="H85" t="s">
        <v>202</v>
      </c>
      <c r="I85" t="s">
        <v>206</v>
      </c>
      <c r="J85" t="s">
        <v>215</v>
      </c>
      <c r="K85" s="2">
        <v>7645.75</v>
      </c>
      <c r="L85" s="3">
        <v>5</v>
      </c>
      <c r="M85" s="4">
        <v>0.15</v>
      </c>
      <c r="N85" s="2">
        <v>2012.47</v>
      </c>
      <c r="O85" t="s">
        <v>223</v>
      </c>
      <c r="P85" t="s">
        <v>226</v>
      </c>
      <c r="Q85" s="4">
        <f>Sales_Data[[#This Row],[Profit]]/Sales_Data[[#This Row],[Sales]]</f>
        <v>0.26321420396952555</v>
      </c>
    </row>
    <row r="86" spans="1:17" x14ac:dyDescent="0.25">
      <c r="A86" t="s">
        <v>100</v>
      </c>
      <c r="B86" s="1">
        <v>45867</v>
      </c>
      <c r="C86" t="s">
        <v>122</v>
      </c>
      <c r="D86" t="s">
        <v>156</v>
      </c>
      <c r="E86" t="s">
        <v>170</v>
      </c>
      <c r="F86" t="s">
        <v>185</v>
      </c>
      <c r="G86" t="s">
        <v>190</v>
      </c>
      <c r="H86" t="s">
        <v>200</v>
      </c>
      <c r="I86" t="s">
        <v>204</v>
      </c>
      <c r="J86" t="s">
        <v>213</v>
      </c>
      <c r="K86" s="2">
        <v>18897.3</v>
      </c>
      <c r="L86" s="3">
        <v>3</v>
      </c>
      <c r="M86" s="4">
        <v>0.1</v>
      </c>
      <c r="N86" s="2">
        <v>4044.53</v>
      </c>
      <c r="O86" t="s">
        <v>223</v>
      </c>
      <c r="P86" t="s">
        <v>227</v>
      </c>
      <c r="Q86" s="4">
        <f>Sales_Data[[#This Row],[Profit]]/Sales_Data[[#This Row],[Sales]]</f>
        <v>0.21402687156366254</v>
      </c>
    </row>
    <row r="87" spans="1:17" x14ac:dyDescent="0.25">
      <c r="A87" t="s">
        <v>101</v>
      </c>
      <c r="B87" s="1">
        <v>45939</v>
      </c>
      <c r="C87" t="s">
        <v>133</v>
      </c>
      <c r="D87" t="s">
        <v>158</v>
      </c>
      <c r="E87" t="s">
        <v>170</v>
      </c>
      <c r="F87" t="s">
        <v>185</v>
      </c>
      <c r="G87" t="s">
        <v>190</v>
      </c>
      <c r="H87" t="s">
        <v>200</v>
      </c>
      <c r="I87" t="s">
        <v>209</v>
      </c>
      <c r="J87" t="s">
        <v>218</v>
      </c>
      <c r="K87" s="2">
        <v>5949.15</v>
      </c>
      <c r="L87" s="3">
        <v>1</v>
      </c>
      <c r="M87" s="4">
        <v>0.15</v>
      </c>
      <c r="N87" s="2">
        <v>580.71</v>
      </c>
      <c r="O87" t="s">
        <v>224</v>
      </c>
      <c r="P87" t="s">
        <v>227</v>
      </c>
      <c r="Q87" s="4">
        <f>Sales_Data[[#This Row],[Profit]]/Sales_Data[[#This Row],[Sales]]</f>
        <v>9.7612263936864938E-2</v>
      </c>
    </row>
    <row r="88" spans="1:17" x14ac:dyDescent="0.25">
      <c r="A88" t="s">
        <v>102</v>
      </c>
      <c r="B88" s="1">
        <v>45894</v>
      </c>
      <c r="C88" t="s">
        <v>125</v>
      </c>
      <c r="D88" t="s">
        <v>158</v>
      </c>
      <c r="E88" t="s">
        <v>180</v>
      </c>
      <c r="F88" t="s">
        <v>186</v>
      </c>
      <c r="G88" t="s">
        <v>191</v>
      </c>
      <c r="H88" t="s">
        <v>200</v>
      </c>
      <c r="I88" t="s">
        <v>204</v>
      </c>
      <c r="J88" t="s">
        <v>213</v>
      </c>
      <c r="K88" s="2">
        <v>3596</v>
      </c>
      <c r="L88" s="3">
        <v>4</v>
      </c>
      <c r="M88" s="4">
        <v>0</v>
      </c>
      <c r="N88" s="2">
        <v>422.59</v>
      </c>
      <c r="O88" t="s">
        <v>224</v>
      </c>
      <c r="P88" t="s">
        <v>226</v>
      </c>
      <c r="Q88" s="4">
        <f>Sales_Data[[#This Row],[Profit]]/Sales_Data[[#This Row],[Sales]]</f>
        <v>0.11751668520578419</v>
      </c>
    </row>
    <row r="89" spans="1:17" x14ac:dyDescent="0.25">
      <c r="A89" t="s">
        <v>103</v>
      </c>
      <c r="B89" s="1">
        <v>45762</v>
      </c>
      <c r="C89" t="s">
        <v>129</v>
      </c>
      <c r="D89" t="s">
        <v>167</v>
      </c>
      <c r="E89" t="s">
        <v>178</v>
      </c>
      <c r="F89" t="s">
        <v>187</v>
      </c>
      <c r="G89" t="s">
        <v>194</v>
      </c>
      <c r="H89" t="s">
        <v>200</v>
      </c>
      <c r="I89" t="s">
        <v>209</v>
      </c>
      <c r="J89" t="s">
        <v>218</v>
      </c>
      <c r="K89" s="2">
        <v>1917.6</v>
      </c>
      <c r="L89" s="3">
        <v>3</v>
      </c>
      <c r="M89" s="4">
        <v>0.2</v>
      </c>
      <c r="N89" s="2">
        <v>203.65</v>
      </c>
      <c r="O89" t="s">
        <v>224</v>
      </c>
      <c r="P89" t="s">
        <v>227</v>
      </c>
      <c r="Q89" s="4">
        <f>Sales_Data[[#This Row],[Profit]]/Sales_Data[[#This Row],[Sales]]</f>
        <v>0.10620045890696705</v>
      </c>
    </row>
    <row r="90" spans="1:17" x14ac:dyDescent="0.25">
      <c r="A90" t="s">
        <v>104</v>
      </c>
      <c r="B90" s="1">
        <v>45780</v>
      </c>
      <c r="C90" t="s">
        <v>150</v>
      </c>
      <c r="D90" t="s">
        <v>164</v>
      </c>
      <c r="E90" t="s">
        <v>179</v>
      </c>
      <c r="F90" t="s">
        <v>187</v>
      </c>
      <c r="G90" t="s">
        <v>194</v>
      </c>
      <c r="H90" t="s">
        <v>200</v>
      </c>
      <c r="I90" t="s">
        <v>204</v>
      </c>
      <c r="J90" t="s">
        <v>213</v>
      </c>
      <c r="K90" s="2">
        <v>5398.2</v>
      </c>
      <c r="L90" s="3">
        <v>2</v>
      </c>
      <c r="M90" s="4">
        <v>0.1</v>
      </c>
      <c r="N90" s="2">
        <v>1026.56</v>
      </c>
      <c r="O90" t="s">
        <v>225</v>
      </c>
      <c r="P90" t="s">
        <v>228</v>
      </c>
      <c r="Q90" s="4">
        <f>Sales_Data[[#This Row],[Profit]]/Sales_Data[[#This Row],[Sales]]</f>
        <v>0.19016709273461524</v>
      </c>
    </row>
    <row r="91" spans="1:17" x14ac:dyDescent="0.25">
      <c r="A91" t="s">
        <v>105</v>
      </c>
      <c r="B91" s="1">
        <v>45913</v>
      </c>
      <c r="C91" t="s">
        <v>146</v>
      </c>
      <c r="D91" t="s">
        <v>155</v>
      </c>
      <c r="E91" t="s">
        <v>173</v>
      </c>
      <c r="F91" t="s">
        <v>186</v>
      </c>
      <c r="G91" t="s">
        <v>192</v>
      </c>
      <c r="H91" t="s">
        <v>199</v>
      </c>
      <c r="I91" t="s">
        <v>211</v>
      </c>
      <c r="J91" t="s">
        <v>220</v>
      </c>
      <c r="K91" s="2">
        <v>71997.600000000006</v>
      </c>
      <c r="L91" s="3">
        <v>3</v>
      </c>
      <c r="M91" s="4">
        <v>0.2</v>
      </c>
      <c r="N91" s="2">
        <v>15917.4</v>
      </c>
      <c r="O91" t="s">
        <v>225</v>
      </c>
      <c r="P91" t="s">
        <v>227</v>
      </c>
      <c r="Q91" s="4">
        <f>Sales_Data[[#This Row],[Profit]]/Sales_Data[[#This Row],[Sales]]</f>
        <v>0.22108236941231371</v>
      </c>
    </row>
    <row r="92" spans="1:17" x14ac:dyDescent="0.25">
      <c r="A92" t="s">
        <v>106</v>
      </c>
      <c r="B92" s="1">
        <v>45854</v>
      </c>
      <c r="C92" t="s">
        <v>146</v>
      </c>
      <c r="D92" t="s">
        <v>162</v>
      </c>
      <c r="E92" t="s">
        <v>174</v>
      </c>
      <c r="F92" t="s">
        <v>185</v>
      </c>
      <c r="G92" t="s">
        <v>193</v>
      </c>
      <c r="H92" t="s">
        <v>201</v>
      </c>
      <c r="I92" t="s">
        <v>205</v>
      </c>
      <c r="J92" t="s">
        <v>214</v>
      </c>
      <c r="K92" s="2">
        <v>8798.4</v>
      </c>
      <c r="L92" s="3">
        <v>2</v>
      </c>
      <c r="M92" s="4">
        <v>0.2</v>
      </c>
      <c r="N92" s="2">
        <v>1598.21</v>
      </c>
      <c r="O92" t="s">
        <v>223</v>
      </c>
      <c r="P92" t="s">
        <v>228</v>
      </c>
      <c r="Q92" s="4">
        <f>Sales_Data[[#This Row],[Profit]]/Sales_Data[[#This Row],[Sales]]</f>
        <v>0.18164779959992727</v>
      </c>
    </row>
    <row r="93" spans="1:17" x14ac:dyDescent="0.25">
      <c r="A93" t="s">
        <v>107</v>
      </c>
      <c r="B93" s="1">
        <v>45794</v>
      </c>
      <c r="C93" t="s">
        <v>141</v>
      </c>
      <c r="D93" t="s">
        <v>157</v>
      </c>
      <c r="E93" t="s">
        <v>182</v>
      </c>
      <c r="F93" t="s">
        <v>186</v>
      </c>
      <c r="G93" t="s">
        <v>191</v>
      </c>
      <c r="H93" t="s">
        <v>200</v>
      </c>
      <c r="I93" t="s">
        <v>209</v>
      </c>
      <c r="J93" t="s">
        <v>218</v>
      </c>
      <c r="K93" s="2">
        <v>2249.1</v>
      </c>
      <c r="L93" s="3">
        <v>1</v>
      </c>
      <c r="M93" s="4">
        <v>0.1</v>
      </c>
      <c r="N93" s="2">
        <v>506.52</v>
      </c>
      <c r="O93" t="s">
        <v>225</v>
      </c>
      <c r="P93" t="s">
        <v>228</v>
      </c>
      <c r="Q93" s="4">
        <f>Sales_Data[[#This Row],[Profit]]/Sales_Data[[#This Row],[Sales]]</f>
        <v>0.22521008403361345</v>
      </c>
    </row>
    <row r="94" spans="1:17" x14ac:dyDescent="0.25">
      <c r="A94" t="s">
        <v>108</v>
      </c>
      <c r="B94" s="1">
        <v>45936</v>
      </c>
      <c r="C94" t="s">
        <v>138</v>
      </c>
      <c r="D94" t="s">
        <v>159</v>
      </c>
      <c r="E94" t="s">
        <v>174</v>
      </c>
      <c r="F94" t="s">
        <v>185</v>
      </c>
      <c r="G94" t="s">
        <v>193</v>
      </c>
      <c r="H94" t="s">
        <v>200</v>
      </c>
      <c r="I94" t="s">
        <v>209</v>
      </c>
      <c r="J94" t="s">
        <v>218</v>
      </c>
      <c r="K94" s="2">
        <v>18696.599999999999</v>
      </c>
      <c r="L94" s="3">
        <v>4</v>
      </c>
      <c r="M94" s="4">
        <v>0.15</v>
      </c>
      <c r="N94" s="2">
        <v>4983.96</v>
      </c>
      <c r="O94" t="s">
        <v>223</v>
      </c>
      <c r="P94" t="s">
        <v>226</v>
      </c>
      <c r="Q94" s="4">
        <f>Sales_Data[[#This Row],[Profit]]/Sales_Data[[#This Row],[Sales]]</f>
        <v>0.26657039247777675</v>
      </c>
    </row>
    <row r="95" spans="1:17" x14ac:dyDescent="0.25">
      <c r="A95" t="s">
        <v>109</v>
      </c>
      <c r="B95" s="1">
        <v>45680</v>
      </c>
      <c r="C95" t="s">
        <v>142</v>
      </c>
      <c r="D95" t="s">
        <v>168</v>
      </c>
      <c r="E95" t="s">
        <v>173</v>
      </c>
      <c r="F95" t="s">
        <v>186</v>
      </c>
      <c r="G95" t="s">
        <v>192</v>
      </c>
      <c r="H95" t="s">
        <v>200</v>
      </c>
      <c r="I95" t="s">
        <v>204</v>
      </c>
      <c r="J95" t="s">
        <v>213</v>
      </c>
      <c r="K95" s="2">
        <v>76497.45</v>
      </c>
      <c r="L95" s="3">
        <v>3</v>
      </c>
      <c r="M95" s="4">
        <v>0.15</v>
      </c>
      <c r="N95" s="2">
        <v>16909.419999999998</v>
      </c>
      <c r="O95" t="s">
        <v>225</v>
      </c>
      <c r="P95" t="s">
        <v>227</v>
      </c>
      <c r="Q95" s="4">
        <f>Sales_Data[[#This Row],[Profit]]/Sales_Data[[#This Row],[Sales]]</f>
        <v>0.22104553811924449</v>
      </c>
    </row>
    <row r="96" spans="1:17" x14ac:dyDescent="0.25">
      <c r="A96" t="s">
        <v>110</v>
      </c>
      <c r="B96" s="1">
        <v>45915</v>
      </c>
      <c r="C96" t="s">
        <v>134</v>
      </c>
      <c r="D96" t="s">
        <v>164</v>
      </c>
      <c r="E96" t="s">
        <v>169</v>
      </c>
      <c r="F96" t="s">
        <v>184</v>
      </c>
      <c r="G96" t="s">
        <v>189</v>
      </c>
      <c r="H96" t="s">
        <v>201</v>
      </c>
      <c r="I96" t="s">
        <v>205</v>
      </c>
      <c r="J96" t="s">
        <v>214</v>
      </c>
      <c r="K96" s="2">
        <v>2695.5</v>
      </c>
      <c r="L96" s="3">
        <v>5</v>
      </c>
      <c r="M96" s="4">
        <v>0.1</v>
      </c>
      <c r="N96" s="2">
        <v>684.5</v>
      </c>
      <c r="O96" t="s">
        <v>225</v>
      </c>
      <c r="P96" t="s">
        <v>228</v>
      </c>
      <c r="Q96" s="4">
        <f>Sales_Data[[#This Row],[Profit]]/Sales_Data[[#This Row],[Sales]]</f>
        <v>0.25394175477647934</v>
      </c>
    </row>
    <row r="97" spans="1:17" x14ac:dyDescent="0.25">
      <c r="A97" t="s">
        <v>111</v>
      </c>
      <c r="B97" s="1">
        <v>45867</v>
      </c>
      <c r="C97" t="s">
        <v>146</v>
      </c>
      <c r="D97" t="s">
        <v>154</v>
      </c>
      <c r="E97" t="s">
        <v>183</v>
      </c>
      <c r="F97" t="s">
        <v>188</v>
      </c>
      <c r="G97" t="s">
        <v>198</v>
      </c>
      <c r="H97" t="s">
        <v>200</v>
      </c>
      <c r="I97" t="s">
        <v>204</v>
      </c>
      <c r="J97" t="s">
        <v>213</v>
      </c>
      <c r="K97" s="2">
        <v>3598</v>
      </c>
      <c r="L97" s="3">
        <v>2</v>
      </c>
      <c r="M97" s="4">
        <v>0</v>
      </c>
      <c r="N97" s="2">
        <v>625.69000000000005</v>
      </c>
      <c r="O97" t="s">
        <v>224</v>
      </c>
      <c r="P97" t="s">
        <v>227</v>
      </c>
      <c r="Q97" s="4">
        <f>Sales_Data[[#This Row],[Profit]]/Sales_Data[[#This Row],[Sales]]</f>
        <v>0.17389938854919401</v>
      </c>
    </row>
    <row r="98" spans="1:17" x14ac:dyDescent="0.25">
      <c r="A98" t="s">
        <v>112</v>
      </c>
      <c r="B98" s="1">
        <v>46003</v>
      </c>
      <c r="C98" t="s">
        <v>131</v>
      </c>
      <c r="D98" t="s">
        <v>168</v>
      </c>
      <c r="E98" t="s">
        <v>176</v>
      </c>
      <c r="F98" t="s">
        <v>184</v>
      </c>
      <c r="G98" t="s">
        <v>195</v>
      </c>
      <c r="H98" t="s">
        <v>200</v>
      </c>
      <c r="I98" t="s">
        <v>204</v>
      </c>
      <c r="J98" t="s">
        <v>213</v>
      </c>
      <c r="K98" s="2">
        <v>14870.75</v>
      </c>
      <c r="L98" s="3">
        <v>5</v>
      </c>
      <c r="M98" s="4">
        <v>0.15</v>
      </c>
      <c r="N98" s="2">
        <v>4027.41</v>
      </c>
      <c r="O98" t="s">
        <v>225</v>
      </c>
      <c r="P98" t="s">
        <v>226</v>
      </c>
      <c r="Q98" s="4">
        <f>Sales_Data[[#This Row],[Profit]]/Sales_Data[[#This Row],[Sales]]</f>
        <v>0.27082763142410438</v>
      </c>
    </row>
    <row r="99" spans="1:17" x14ac:dyDescent="0.25">
      <c r="A99" t="s">
        <v>113</v>
      </c>
      <c r="B99" s="1">
        <v>45774</v>
      </c>
      <c r="C99" t="s">
        <v>153</v>
      </c>
      <c r="D99" t="s">
        <v>158</v>
      </c>
      <c r="E99" t="s">
        <v>177</v>
      </c>
      <c r="F99" t="s">
        <v>186</v>
      </c>
      <c r="G99" t="s">
        <v>196</v>
      </c>
      <c r="H99" t="s">
        <v>199</v>
      </c>
      <c r="I99" t="s">
        <v>203</v>
      </c>
      <c r="J99" t="s">
        <v>221</v>
      </c>
      <c r="K99" s="2">
        <v>55250</v>
      </c>
      <c r="L99" s="3">
        <v>1</v>
      </c>
      <c r="M99" s="4">
        <v>0.15</v>
      </c>
      <c r="N99" s="2">
        <v>15230.63</v>
      </c>
      <c r="O99" t="s">
        <v>222</v>
      </c>
      <c r="P99" t="s">
        <v>227</v>
      </c>
      <c r="Q99" s="4">
        <f>Sales_Data[[#This Row],[Profit]]/Sales_Data[[#This Row],[Sales]]</f>
        <v>0.27566751131221717</v>
      </c>
    </row>
    <row r="100" spans="1:17" x14ac:dyDescent="0.25">
      <c r="A100" t="s">
        <v>114</v>
      </c>
      <c r="B100" s="1">
        <v>45686</v>
      </c>
      <c r="C100" t="s">
        <v>127</v>
      </c>
      <c r="D100" t="s">
        <v>164</v>
      </c>
      <c r="E100" t="s">
        <v>171</v>
      </c>
      <c r="F100" t="s">
        <v>186</v>
      </c>
      <c r="G100" t="s">
        <v>191</v>
      </c>
      <c r="H100" t="s">
        <v>202</v>
      </c>
      <c r="I100" t="s">
        <v>206</v>
      </c>
      <c r="J100" t="s">
        <v>215</v>
      </c>
      <c r="K100" s="2">
        <v>4047.3</v>
      </c>
      <c r="L100" s="3">
        <v>3</v>
      </c>
      <c r="M100" s="4">
        <v>0.1</v>
      </c>
      <c r="N100" s="2">
        <v>627.20000000000005</v>
      </c>
      <c r="O100" t="s">
        <v>223</v>
      </c>
      <c r="P100" t="s">
        <v>228</v>
      </c>
      <c r="Q100" s="4">
        <f>Sales_Data[[#This Row],[Profit]]/Sales_Data[[#This Row],[Sales]]</f>
        <v>0.15496750920366664</v>
      </c>
    </row>
    <row r="101" spans="1:17" x14ac:dyDescent="0.25">
      <c r="A101" t="s">
        <v>115</v>
      </c>
      <c r="B101" s="1">
        <v>45698</v>
      </c>
      <c r="C101" t="s">
        <v>139</v>
      </c>
      <c r="D101" t="s">
        <v>166</v>
      </c>
      <c r="E101" t="s">
        <v>183</v>
      </c>
      <c r="F101" t="s">
        <v>188</v>
      </c>
      <c r="G101" t="s">
        <v>198</v>
      </c>
      <c r="H101" t="s">
        <v>200</v>
      </c>
      <c r="I101" t="s">
        <v>204</v>
      </c>
      <c r="J101" t="s">
        <v>213</v>
      </c>
      <c r="K101" s="2">
        <v>7645.75</v>
      </c>
      <c r="L101" s="3">
        <v>5</v>
      </c>
      <c r="M101" s="4">
        <v>0.15</v>
      </c>
      <c r="N101" s="2">
        <v>1559.29</v>
      </c>
      <c r="O101" t="s">
        <v>223</v>
      </c>
      <c r="P101" t="s">
        <v>227</v>
      </c>
      <c r="Q101" s="4">
        <f>Sales_Data[[#This Row],[Profit]]/Sales_Data[[#This Row],[Sales]]</f>
        <v>0.20394205931399798</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55B50-A699-4E24-8A44-937B51594A84}">
  <dimension ref="A1:J6"/>
  <sheetViews>
    <sheetView workbookViewId="0">
      <selection activeCell="K1" sqref="K1"/>
    </sheetView>
  </sheetViews>
  <sheetFormatPr defaultRowHeight="15" x14ac:dyDescent="0.25"/>
  <cols>
    <col min="1" max="1" width="10.5703125" bestFit="1" customWidth="1"/>
    <col min="2" max="2" width="10.42578125" bestFit="1" customWidth="1"/>
    <col min="4" max="4" width="11.85546875" bestFit="1" customWidth="1"/>
    <col min="6" max="6" width="10.5703125" bestFit="1" customWidth="1"/>
    <col min="7" max="7" width="13.42578125" bestFit="1" customWidth="1"/>
    <col min="9" max="9" width="12.42578125" bestFit="1" customWidth="1"/>
    <col min="10" max="10" width="16" bestFit="1" customWidth="1"/>
  </cols>
  <sheetData>
    <row r="1" spans="1:10" x14ac:dyDescent="0.25">
      <c r="A1" t="s">
        <v>5</v>
      </c>
      <c r="B1" t="s">
        <v>236</v>
      </c>
      <c r="D1" t="s">
        <v>237</v>
      </c>
      <c r="F1" t="s">
        <v>5</v>
      </c>
      <c r="G1" t="s">
        <v>238</v>
      </c>
      <c r="I1" t="s">
        <v>2</v>
      </c>
      <c r="J1" t="s">
        <v>3</v>
      </c>
    </row>
    <row r="2" spans="1:10" x14ac:dyDescent="0.25">
      <c r="A2" t="s">
        <v>188</v>
      </c>
      <c r="B2">
        <f>SUMIFS(Sales_Data[Sales],Sales_Data[Category],A2)</f>
        <v>38948.35</v>
      </c>
      <c r="D2">
        <f>COUNTIF(Sales_Data[Category],A2)</f>
        <v>7</v>
      </c>
      <c r="F2" t="s">
        <v>188</v>
      </c>
      <c r="G2">
        <f>AVERAGEIFS(Sales_Data[Sales],Sales_Data[Category],F2)</f>
        <v>5564.05</v>
      </c>
      <c r="I2" t="s">
        <v>136</v>
      </c>
      <c r="J2" t="str">
        <f>_xlfn.XLOOKUP(I2,Sales_Data[Customer_ID],Sales_Data[Customer_Name],"Not Found")</f>
        <v>Arun</v>
      </c>
    </row>
    <row r="3" spans="1:10" x14ac:dyDescent="0.25">
      <c r="A3" t="s">
        <v>186</v>
      </c>
      <c r="B3">
        <f>SUMIFS(Sales_Data[Sales],Sales_Data[Category],A3)</f>
        <v>2664680.5499999998</v>
      </c>
      <c r="D3">
        <f>COUNTIF(Sales_Data[Category],A3)</f>
        <v>37</v>
      </c>
      <c r="F3" t="s">
        <v>186</v>
      </c>
      <c r="G3">
        <f>AVERAGEIFS(Sales_Data[Sales],Sales_Data[Category],F3)</f>
        <v>72018.393243243234</v>
      </c>
    </row>
    <row r="4" spans="1:10" x14ac:dyDescent="0.25">
      <c r="A4" t="s">
        <v>187</v>
      </c>
      <c r="B4">
        <f>SUMIFS(Sales_Data[Sales],Sales_Data[Category],A4)</f>
        <v>108251.9</v>
      </c>
      <c r="D4">
        <f>COUNTIF(Sales_Data[Category],A4)</f>
        <v>22</v>
      </c>
      <c r="F4" t="s">
        <v>187</v>
      </c>
      <c r="G4">
        <f>AVERAGEIFS(Sales_Data[Sales],Sales_Data[Category],F4)</f>
        <v>4920.5409090909088</v>
      </c>
    </row>
    <row r="5" spans="1:10" x14ac:dyDescent="0.25">
      <c r="A5" t="s">
        <v>185</v>
      </c>
      <c r="B5">
        <f>SUMIFS(Sales_Data[Sales],Sales_Data[Category],A5)</f>
        <v>257284.8</v>
      </c>
      <c r="D5">
        <f>COUNTIF(Sales_Data[Category],A5)</f>
        <v>15</v>
      </c>
      <c r="F5" t="s">
        <v>185</v>
      </c>
      <c r="G5">
        <f>AVERAGEIFS(Sales_Data[Sales],Sales_Data[Category],F5)</f>
        <v>17152.32</v>
      </c>
    </row>
    <row r="6" spans="1:10" x14ac:dyDescent="0.25">
      <c r="A6" t="s">
        <v>184</v>
      </c>
      <c r="B6">
        <f>SUMIFS(Sales_Data[Sales],Sales_Data[Category],A6)</f>
        <v>82085.45</v>
      </c>
      <c r="D6">
        <f>COUNTIF(Sales_Data[Category],A6)</f>
        <v>19</v>
      </c>
      <c r="F6" t="s">
        <v>184</v>
      </c>
      <c r="G6">
        <f>AVERAGEIFS(Sales_Data[Sales],Sales_Data[Category],F6)</f>
        <v>4320.2868421052626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69296-CE76-4698-9C6C-6621B8D94AEA}">
  <dimension ref="X16:X22"/>
  <sheetViews>
    <sheetView zoomScale="54" workbookViewId="0">
      <selection activeCell="AA16" sqref="AA16"/>
    </sheetView>
  </sheetViews>
  <sheetFormatPr defaultRowHeight="15" x14ac:dyDescent="0.25"/>
  <cols>
    <col min="24" max="24" width="14.42578125" bestFit="1" customWidth="1"/>
  </cols>
  <sheetData>
    <row r="16" spans="24:24" x14ac:dyDescent="0.25">
      <c r="X16" s="2">
        <f>SUM(Sales_Data[Sales])</f>
        <v>3151251.0500000007</v>
      </c>
    </row>
    <row r="18" spans="24:24" x14ac:dyDescent="0.25">
      <c r="X18" s="2">
        <f>SUM(Sales_Data[Profit])</f>
        <v>597550.91000000015</v>
      </c>
    </row>
    <row r="20" spans="24:24" x14ac:dyDescent="0.25">
      <c r="X20">
        <f>COUNTA(Sales_Data[Order_ID])</f>
        <v>100</v>
      </c>
    </row>
    <row r="22" spans="24:24" x14ac:dyDescent="0.25">
      <c r="X22" s="2">
        <f>AVERAGE(Sales_Data[Sales])</f>
        <v>31512.510500000008</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EBB65-107E-4A11-8D7D-0ADB05D54707}">
  <dimension ref="A1"/>
  <sheetViews>
    <sheetView showGridLines="0" showRowColHeaders="0" tabSelected="1" topLeftCell="A3" zoomScaleNormal="100" workbookViewId="0">
      <selection activeCell="W5" sqref="W5"/>
      <extLst>
        <ext xmlns:xlsdti="http://schemas.microsoft.com/office/spreadsheetml/2023/showDataTypeIcons" uri="{77bfe23e-c014-4d31-8a63-9c772dbf06b6}">
          <xlsdti:showDataTypeIcons visible="0"/>
        </ext>
      </extLst>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37C3711FDDAD4A90B0EB7CC69BE776" ma:contentTypeVersion="4" ma:contentTypeDescription="Create a new document." ma:contentTypeScope="" ma:versionID="0229da0b116853ac45b6d53c03e26d34">
  <xsd:schema xmlns:xsd="http://www.w3.org/2001/XMLSchema" xmlns:xs="http://www.w3.org/2001/XMLSchema" xmlns:p="http://schemas.microsoft.com/office/2006/metadata/properties" xmlns:ns3="c7593cad-fb1a-4e21-b9da-aaeff0f24b49" targetNamespace="http://schemas.microsoft.com/office/2006/metadata/properties" ma:root="true" ma:fieldsID="42428f5d5ee656ca03419c8c4edf12ed" ns3:_="">
    <xsd:import namespace="c7593cad-fb1a-4e21-b9da-aaeff0f24b4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593cad-fb1a-4e21-b9da-aaeff0f24b4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39DAB5-F146-4AD1-8CAA-9ACF60F54899}">
  <ds:schemaRefs>
    <ds:schemaRef ds:uri="c7593cad-fb1a-4e21-b9da-aaeff0f24b49"/>
    <ds:schemaRef ds:uri="http://schemas.microsoft.com/office/2006/metadata/properties"/>
    <ds:schemaRef ds:uri="http://purl.org/dc/terms/"/>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B7F969F-2A68-4662-BD12-C5D7CC2989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593cad-fb1a-4e21-b9da-aaeff0f24b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77CF8F-EF90-4EBF-8B5E-9AD02F7F92B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Category wise Sales</vt:lpstr>
      <vt:lpstr>Charts</vt:lpstr>
      <vt:lpstr>Region wise Sales</vt:lpstr>
      <vt:lpstr>Category wise Profit</vt:lpstr>
      <vt:lpstr>Payment_Mode wise Sales</vt:lpstr>
      <vt:lpstr>Product wise Sales</vt:lpstr>
      <vt:lpstr>Sheet4</vt:lpstr>
      <vt:lpstr>Sheet1</vt:lpstr>
      <vt:lpstr>Sheet6</vt:lpstr>
      <vt:lpstr>State wise Sales</vt:lpstr>
      <vt:lpstr>Shipping wise Sales</vt:lpstr>
      <vt:lpstr>Customer-wise Sales</vt:lpstr>
      <vt:lpstr>Region-wise Profit</vt:lpstr>
      <vt:lpstr>Discount vs Profit</vt:lpstr>
      <vt:lpstr>Category + Region Sales</vt:lpstr>
      <vt:lpstr>Customer-wise Order Count</vt:lpstr>
      <vt:lpstr>Sheet3</vt:lpstr>
      <vt:lpstr>Raw_Data</vt:lpstr>
      <vt:lpstr>Formula_Analysis</vt:lpstr>
      <vt:lpstr>Chart</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Gokulananth T</dc:creator>
  <cp:lastModifiedBy>S0323696</cp:lastModifiedBy>
  <dcterms:created xsi:type="dcterms:W3CDTF">2026-08-08T12:36:27Z</dcterms:created>
  <dcterms:modified xsi:type="dcterms:W3CDTF">2026-09-12T05:05:11Z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0x010100AF37C3711FDDAD4A90B0EB7CC69BE776</vt:lpwstr>
  </property>
</Properties>
</file>